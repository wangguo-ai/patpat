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95"/>
  </bookViews>
  <sheets>
    <sheet name="Sheet1" sheetId="1" r:id="rId1"/>
    <sheet name="序号分组明细" sheetId="2" r:id="rId2"/>
    <sheet name="改名记录" sheetId="3" r:id="rId3"/>
  </sheets>
  <externalReferences>
    <externalReference r:id="rId4"/>
  </externalReferences>
  <definedNames>
    <definedName name="_xlnm._FilterDatabase" localSheetId="0" hidden="1">Sheet1!$A$1:$M$320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<sst xmlns="http://schemas.openxmlformats.org/spreadsheetml/2006/main" count="2365" uniqueCount="933">
  <si>
    <t>序号</t>
  </si>
  <si>
    <t>采购单号</t>
  </si>
  <si>
    <t>供应商</t>
  </si>
  <si>
    <t>待上传的支付凭证名</t>
  </si>
  <si>
    <t>入库金额</t>
  </si>
  <si>
    <t>日期</t>
  </si>
  <si>
    <t>金额</t>
  </si>
  <si>
    <t>差异</t>
  </si>
  <si>
    <t>系统采购金额</t>
  </si>
  <si>
    <t>状态</t>
  </si>
  <si>
    <t>备注</t>
  </si>
  <si>
    <t>MCG202605050065</t>
  </si>
  <si>
    <t>佛山市缤涛纺织有限公司</t>
  </si>
  <si>
    <t>2026-05-06 11:07:35</t>
  </si>
  <si>
    <t>待上传</t>
  </si>
  <si>
    <t>仿棉拉架平纹-200G（阻燃）</t>
  </si>
  <si>
    <t>MCG202605050053</t>
  </si>
  <si>
    <t>2026-05-06 11:07:20</t>
  </si>
  <si>
    <t>MCG202605050054</t>
  </si>
  <si>
    <t>2026-05-06 11:07:28</t>
  </si>
  <si>
    <t>MCG202605050041</t>
  </si>
  <si>
    <t>2026-05-06 11:06:57</t>
  </si>
  <si>
    <t>MCG202605050038</t>
  </si>
  <si>
    <t>2026-05-06 11:07:05</t>
  </si>
  <si>
    <t>MCG202605050036</t>
  </si>
  <si>
    <t>2026-05-06 11:07:12</t>
  </si>
  <si>
    <t>MCG202605050025</t>
  </si>
  <si>
    <t>2026-05-06 11:07:43</t>
  </si>
  <si>
    <t>MCG202605050013</t>
  </si>
  <si>
    <t>2026-05-06 11:07:51</t>
  </si>
  <si>
    <t>MCG202605050073</t>
  </si>
  <si>
    <t>2026-05-06 11:08:44</t>
  </si>
  <si>
    <t>涤1*1拉架罗纹-260G（阻燃）</t>
  </si>
  <si>
    <t>MCG202605050068</t>
  </si>
  <si>
    <t>2026-05-06 11:00:25</t>
  </si>
  <si>
    <t>MCG202605050067</t>
  </si>
  <si>
    <t>2026-05-06 11:00:17</t>
  </si>
  <si>
    <t>MCG202605050066</t>
  </si>
  <si>
    <t>2026-05-06 11:00:10</t>
  </si>
  <si>
    <t>MCG202605050062</t>
  </si>
  <si>
    <t>2026-05-06 11:08:37</t>
  </si>
  <si>
    <t>MCG202605050052</t>
  </si>
  <si>
    <t>2026-05-06 11:09:07</t>
  </si>
  <si>
    <t>MCG202605050049</t>
  </si>
  <si>
    <t>2026-05-06 11:09:00</t>
  </si>
  <si>
    <t>MCG202605050040</t>
  </si>
  <si>
    <t>2026-05-06 11:08:52</t>
  </si>
  <si>
    <t>MCG202605050034</t>
  </si>
  <si>
    <t>2026-05-06 11:08:29</t>
  </si>
  <si>
    <t>MCG202605050024</t>
  </si>
  <si>
    <t>2026-05-06 11:08:21</t>
  </si>
  <si>
    <t>MCG202605050019</t>
  </si>
  <si>
    <t>2026-05-06 11:08:14</t>
  </si>
  <si>
    <t>MCG202605050018</t>
  </si>
  <si>
    <t>2026-05-06 11:07:58</t>
  </si>
  <si>
    <t>MCG202605050012</t>
  </si>
  <si>
    <t>2026-05-06 11:08:06</t>
  </si>
  <si>
    <t>MCG202605050069</t>
  </si>
  <si>
    <t>2026-05-06 11:06:50</t>
  </si>
  <si>
    <t>仿棉拉架平纹-200G</t>
  </si>
  <si>
    <t>MCG202605050071</t>
  </si>
  <si>
    <t>2026-05-06 11:06:42</t>
  </si>
  <si>
    <t>200G仿棉拉架平纹（印花底布专用）</t>
  </si>
  <si>
    <t>MCG202605050063</t>
  </si>
  <si>
    <t>2026-05-06 10:58:51</t>
  </si>
  <si>
    <t>MCG202605050064</t>
  </si>
  <si>
    <t>2026-05-06 10:58:59</t>
  </si>
  <si>
    <t>MCG202605050050</t>
  </si>
  <si>
    <t>2026-05-06 10:59:06</t>
  </si>
  <si>
    <t>MCG202605050051</t>
  </si>
  <si>
    <t>2026-05-06 10:59:29</t>
  </si>
  <si>
    <t>MCG202605050039</t>
  </si>
  <si>
    <t>2026-05-06 10:59:14</t>
  </si>
  <si>
    <t>MCG202605050037</t>
  </si>
  <si>
    <t>2026-05-06 10:59:52</t>
  </si>
  <si>
    <t>MCG202605050033</t>
  </si>
  <si>
    <t>2026-05-06 10:59:37</t>
  </si>
  <si>
    <t>MCG202605050035</t>
  </si>
  <si>
    <t>2026-05-06 10:59:22</t>
  </si>
  <si>
    <t>MCG202605050011</t>
  </si>
  <si>
    <t>2026-05-06 10:59:45</t>
  </si>
  <si>
    <t>MCG202605060036</t>
  </si>
  <si>
    <t>2026-05-07 11:17:58</t>
  </si>
  <si>
    <t>涤拉架卫衣-300G（印花底布）</t>
  </si>
  <si>
    <t>MCG202605060033</t>
  </si>
  <si>
    <t>2026-05-07 11:18:13</t>
  </si>
  <si>
    <t>MCG202605060007</t>
  </si>
  <si>
    <t>2026-05-07 11:18:05</t>
  </si>
  <si>
    <t>MCG202605070014</t>
  </si>
  <si>
    <t>2026-05-08 10:02:49</t>
  </si>
  <si>
    <t>MCG202605070011</t>
  </si>
  <si>
    <t>2026-05-08 10:01:58</t>
  </si>
  <si>
    <t>MCG202605080011</t>
  </si>
  <si>
    <t>2026-05-09 10:01:53</t>
  </si>
  <si>
    <t>MCG202605080004</t>
  </si>
  <si>
    <t>2026-05-09 10:01:38</t>
  </si>
  <si>
    <t>MCG202605110046</t>
  </si>
  <si>
    <t>2026-05-12 10:24:05</t>
  </si>
  <si>
    <t>MCG202605110044</t>
  </si>
  <si>
    <t>2026-05-12 10:23:54</t>
  </si>
  <si>
    <t>MCG202605110001</t>
  </si>
  <si>
    <t>2026-05-12 10:23:43</t>
  </si>
  <si>
    <t>MCG202605110052</t>
  </si>
  <si>
    <t>2026-05-13 11:36:47</t>
  </si>
  <si>
    <t>MCG202605130038</t>
  </si>
  <si>
    <t>2026-05-14 11:06:23</t>
  </si>
  <si>
    <t>双磨牛奶丝-220G（印花底布）</t>
  </si>
  <si>
    <t>MCG202605130036</t>
  </si>
  <si>
    <t>2026-05-14 11:06:40</t>
  </si>
  <si>
    <t>仿棉拉架平纹-180G</t>
  </si>
  <si>
    <t>MCG202605120027</t>
  </si>
  <si>
    <t>2026-05-14 11:06:02</t>
  </si>
  <si>
    <t>MCG202605120028</t>
  </si>
  <si>
    <t>2026-05-14 11:06:12</t>
  </si>
  <si>
    <t>MCG202605120026</t>
  </si>
  <si>
    <t>2026-05-14 11:05:50</t>
  </si>
  <si>
    <t>MCG202605140036</t>
  </si>
  <si>
    <t>2026-05-15 13:49:32</t>
  </si>
  <si>
    <t>MCG202605150013</t>
  </si>
  <si>
    <t>2026-05-16 10:52:04</t>
  </si>
  <si>
    <t>MCG202605150011</t>
  </si>
  <si>
    <t>2026-05-16 10:51:44</t>
  </si>
  <si>
    <t>MCG202605150012</t>
  </si>
  <si>
    <t>2026-05-16 10:51:54</t>
  </si>
  <si>
    <t>MCG202605150008</t>
  </si>
  <si>
    <t>2026-05-16 10:51:34</t>
  </si>
  <si>
    <t>MCG202605180005</t>
  </si>
  <si>
    <t>2026-05-19 10:50:39</t>
  </si>
  <si>
    <t>MCG202605180006</t>
  </si>
  <si>
    <t>2026-05-19 10:50:49</t>
  </si>
  <si>
    <t>MCG202605180007</t>
  </si>
  <si>
    <t>2026-05-19 10:50:59</t>
  </si>
  <si>
    <t>MCG202605150031</t>
  </si>
  <si>
    <t>2026-05-19 10:50:29</t>
  </si>
  <si>
    <t>MCG202605150024</t>
  </si>
  <si>
    <t>2026-05-19 10:50:18</t>
  </si>
  <si>
    <t>涤拉架卫衣-250G(印花底布）</t>
  </si>
  <si>
    <t>MCG202605190028</t>
  </si>
  <si>
    <t>2026-05-20 11:21:01</t>
  </si>
  <si>
    <t>MCG202605190017</t>
  </si>
  <si>
    <t>2026-05-20 11:21:19</t>
  </si>
  <si>
    <t>MCG202605190018</t>
  </si>
  <si>
    <t>2026-05-20 11:21:11</t>
  </si>
  <si>
    <t>MCG202605210014</t>
  </si>
  <si>
    <t>2026-05-26 12:08:40</t>
  </si>
  <si>
    <t>MCG202605250057</t>
  </si>
  <si>
    <t>2026-05-26 12:08:31</t>
  </si>
  <si>
    <t>MCG202605260035</t>
  </si>
  <si>
    <t>2026-05-27 13:50:19</t>
  </si>
  <si>
    <t>全涤卫衣（无拉架）-250G</t>
  </si>
  <si>
    <t>MCG202605260032</t>
  </si>
  <si>
    <t>2026-05-27 13:50:29</t>
  </si>
  <si>
    <t>MCG202605270035</t>
  </si>
  <si>
    <t>2026-05-28 15:19:00</t>
  </si>
  <si>
    <t>MCG202605270013</t>
  </si>
  <si>
    <t>2026-05-28 15:17:45</t>
  </si>
  <si>
    <t>MCG202605270001</t>
  </si>
  <si>
    <t>2026-05-28 15:18:51</t>
  </si>
  <si>
    <t>MCG202605260049</t>
  </si>
  <si>
    <t>2026-05-28 15:18:41</t>
  </si>
  <si>
    <t>MCG202605260048</t>
  </si>
  <si>
    <t>2026-05-28 15:18:32</t>
  </si>
  <si>
    <t>MCG202605260047</t>
  </si>
  <si>
    <t>2026-05-28 15:18:22</t>
  </si>
  <si>
    <t>MCG202605260041</t>
  </si>
  <si>
    <t>2026-05-28 15:18:13</t>
  </si>
  <si>
    <t>MCG202605260040</t>
  </si>
  <si>
    <t>2026-05-28 15:18:00</t>
  </si>
  <si>
    <t>MCG202605280019</t>
  </si>
  <si>
    <t>1404-佛山市缤涛纺织有限公司</t>
  </si>
  <si>
    <t>2026-05-29 14:20:18</t>
  </si>
  <si>
    <t>MCG202606010035</t>
  </si>
  <si>
    <t>2026-06-02 13:59:32</t>
  </si>
  <si>
    <t>双磨牛奶丝-200G（印花底布）</t>
  </si>
  <si>
    <t>MCG202606010019</t>
  </si>
  <si>
    <t>2026-06-02 13:48:55</t>
  </si>
  <si>
    <t>MCG202606260024</t>
  </si>
  <si>
    <t>2026-06-27 16:01:16</t>
  </si>
  <si>
    <t>MCG202606260022</t>
  </si>
  <si>
    <t>2026-06-27 16:01:01</t>
  </si>
  <si>
    <t>MCG202606240027</t>
  </si>
  <si>
    <t>2026-06-25 11:50:34</t>
  </si>
  <si>
    <t>MCG202606240015</t>
  </si>
  <si>
    <t>2026-06-25 11:51:14</t>
  </si>
  <si>
    <t>MCG202606090035</t>
  </si>
  <si>
    <t>2026-06-09 16:34:44</t>
  </si>
  <si>
    <t>MCG202606050049</t>
  </si>
  <si>
    <t>2026-06-06 15:41:29</t>
  </si>
  <si>
    <t>MCG202606040014</t>
  </si>
  <si>
    <t>2026-06-07 11:41:55</t>
  </si>
  <si>
    <t>MCG202606040015</t>
  </si>
  <si>
    <t>2026-06-07 11:42:06</t>
  </si>
  <si>
    <t>MCG202606040008</t>
  </si>
  <si>
    <t>2026-06-06 19:20:50</t>
  </si>
  <si>
    <t>MCG202606030083</t>
  </si>
  <si>
    <t>2026-06-07 11:41:36</t>
  </si>
  <si>
    <t>MCG202606030082</t>
  </si>
  <si>
    <t>2026-06-07 11:41:26</t>
  </si>
  <si>
    <t>MCG202606030081</t>
  </si>
  <si>
    <t>2026-06-07 11:41:16</t>
  </si>
  <si>
    <t>MCG202606030080</t>
  </si>
  <si>
    <t>2026-06-06 15:34:01</t>
  </si>
  <si>
    <t>MCG202606030078</t>
  </si>
  <si>
    <t>2026-06-06 19:30:46</t>
  </si>
  <si>
    <t>MCG202606030077</t>
  </si>
  <si>
    <t>2026-06-07 11:41:07</t>
  </si>
  <si>
    <t>MCG202606030076</t>
  </si>
  <si>
    <t>2026-06-07 11:40:57</t>
  </si>
  <si>
    <t>MCG202606030073</t>
  </si>
  <si>
    <t>2026-06-07 11:40:46</t>
  </si>
  <si>
    <t>MCG202606030067</t>
  </si>
  <si>
    <t>2026-06-06 19:23:22</t>
  </si>
  <si>
    <t>MCG202606030066</t>
  </si>
  <si>
    <t>2026-06-06 19:18:03</t>
  </si>
  <si>
    <t>MCG202606030065</t>
  </si>
  <si>
    <t>2026-06-06 19:28:05</t>
  </si>
  <si>
    <t>MCG202606030064</t>
  </si>
  <si>
    <t>2026-06-06 19:25:54</t>
  </si>
  <si>
    <t>MCG202606030063</t>
  </si>
  <si>
    <t>2026-06-06 15:33:53</t>
  </si>
  <si>
    <t>MCG202606030061</t>
  </si>
  <si>
    <t>2026-06-07 11:40:35</t>
  </si>
  <si>
    <t>MCG202606030057</t>
  </si>
  <si>
    <t>2026-06-06 15:54:05</t>
  </si>
  <si>
    <t>MCG202606030055</t>
  </si>
  <si>
    <t>2026-06-07 11:39:44</t>
  </si>
  <si>
    <t>MCG202606030053</t>
  </si>
  <si>
    <t>2026-06-06 18:40:02</t>
  </si>
  <si>
    <t>MCG202606030048</t>
  </si>
  <si>
    <t>2026-06-07 11:39:18</t>
  </si>
  <si>
    <t>MCG202606030046</t>
  </si>
  <si>
    <t>2026-06-07 11:38:57</t>
  </si>
  <si>
    <t>MCG202606030044</t>
  </si>
  <si>
    <t>2026-06-07 11:36:56</t>
  </si>
  <si>
    <t>MCG202606030034</t>
  </si>
  <si>
    <t>2026-06-07 11:37:32</t>
  </si>
  <si>
    <t>MCG202606030032</t>
  </si>
  <si>
    <t>2026-06-07 11:03:34</t>
  </si>
  <si>
    <t>MCG202606030031</t>
  </si>
  <si>
    <t>2026-06-07 11:37:41</t>
  </si>
  <si>
    <t>MCG202606030030</t>
  </si>
  <si>
    <t>2026-06-06 19:26:59</t>
  </si>
  <si>
    <t>MCG202606030029</t>
  </si>
  <si>
    <t>2026-06-06 15:56:51</t>
  </si>
  <si>
    <t>MCG202606030025</t>
  </si>
  <si>
    <t>2026-06-07 11:38:18</t>
  </si>
  <si>
    <t>MCG202606030020</t>
  </si>
  <si>
    <t>2026-06-05 18:13:47</t>
  </si>
  <si>
    <t>MCG202606030018</t>
  </si>
  <si>
    <t>2026-06-06 19:19:25</t>
  </si>
  <si>
    <t>MCG202606030016</t>
  </si>
  <si>
    <t>2026-06-06 19:29:41</t>
  </si>
  <si>
    <t>MCG202606030015</t>
  </si>
  <si>
    <t>2026-06-07 11:38:46</t>
  </si>
  <si>
    <t>MCG202606030014</t>
  </si>
  <si>
    <t>2026-06-06 19:22:11</t>
  </si>
  <si>
    <t>MCG202606030013</t>
  </si>
  <si>
    <t>2026-06-06 19:24:30</t>
  </si>
  <si>
    <t>MCG202606030060</t>
  </si>
  <si>
    <t>2026-06-07 11:40:26</t>
  </si>
  <si>
    <t>MCG202606030058</t>
  </si>
  <si>
    <t>2026-06-07 11:40:08</t>
  </si>
  <si>
    <t>MCG202606030054</t>
  </si>
  <si>
    <t>2026-06-07 11:39:32</t>
  </si>
  <si>
    <t>MCG202606030052</t>
  </si>
  <si>
    <t>2026-06-06 18:39:51</t>
  </si>
  <si>
    <t>MCG202606030043</t>
  </si>
  <si>
    <t>2026-06-07 11:37:05</t>
  </si>
  <si>
    <t>MCG202606030035</t>
  </si>
  <si>
    <t>2026-06-07 11:37:22</t>
  </si>
  <si>
    <t>MCG202606030026</t>
  </si>
  <si>
    <t>2026-06-07 11:38:10</t>
  </si>
  <si>
    <t>MCG202606030028</t>
  </si>
  <si>
    <t>2026-06-07 11:37:50</t>
  </si>
  <si>
    <t>MCG202606030005</t>
  </si>
  <si>
    <t>2026-06-05 16:31:08</t>
  </si>
  <si>
    <t>MCG202606050050</t>
  </si>
  <si>
    <t>2026-06-06 15:41:39</t>
  </si>
  <si>
    <t>MCG202606040027</t>
  </si>
  <si>
    <t>2026-06-07 11:42:18</t>
  </si>
  <si>
    <t>MCG202606030059</t>
  </si>
  <si>
    <t>2026-06-07 11:40:18</t>
  </si>
  <si>
    <t>MCG202606030056</t>
  </si>
  <si>
    <t>2026-06-07 11:39:58</t>
  </si>
  <si>
    <t>MCG202606030047</t>
  </si>
  <si>
    <t>2026-06-07 11:39:07</t>
  </si>
  <si>
    <t>MCG202606030045</t>
  </si>
  <si>
    <t>2026-06-07 11:36:47</t>
  </si>
  <si>
    <t>MCG202606030024</t>
  </si>
  <si>
    <t>2026-06-07 11:38:27</t>
  </si>
  <si>
    <t>MCG202606030023</t>
  </si>
  <si>
    <t>2026-06-07 11:38:36</t>
  </si>
  <si>
    <t>MCG202606030017</t>
  </si>
  <si>
    <t>2026-06-07 11:36:38</t>
  </si>
  <si>
    <t>MCG202606050048</t>
  </si>
  <si>
    <t>2026-06-06 15:41:20</t>
  </si>
  <si>
    <t>MCG202606050033</t>
  </si>
  <si>
    <t>2026-06-07 11:03:25</t>
  </si>
  <si>
    <t>MCG202606040012</t>
  </si>
  <si>
    <t>2026-06-07 11:03:45</t>
  </si>
  <si>
    <t>仿棉拉架平纹-220G（印花底布）</t>
  </si>
  <si>
    <t>MCG202606030072</t>
  </si>
  <si>
    <t>2026-06-06 15:46:24</t>
  </si>
  <si>
    <t>MCG202606080004</t>
  </si>
  <si>
    <t>2026-06-08 14:57:23</t>
  </si>
  <si>
    <t>MCG202606090025</t>
  </si>
  <si>
    <t>2026-06-10 10:43:47</t>
  </si>
  <si>
    <t>双磨牛奶丝-210G</t>
  </si>
  <si>
    <t>MCG202606260080</t>
  </si>
  <si>
    <t>2026-06-27 15:49:03</t>
  </si>
  <si>
    <t>MCG202606260077</t>
  </si>
  <si>
    <t>2026-06-27 15:51:38</t>
  </si>
  <si>
    <t>MCG202606260046</t>
  </si>
  <si>
    <t>2026-06-27 15:48:35</t>
  </si>
  <si>
    <t>MCG202606260037</t>
  </si>
  <si>
    <t>2026-06-27 15:51:23</t>
  </si>
  <si>
    <t>MCG202606260027</t>
  </si>
  <si>
    <t>2026-06-27 15:48:48</t>
  </si>
  <si>
    <t>MCG202606260023</t>
  </si>
  <si>
    <t>2026-06-27 15:51:08</t>
  </si>
  <si>
    <t>MCG202606100011</t>
  </si>
  <si>
    <t>2026-06-10 13:45:08</t>
  </si>
  <si>
    <t>MCG202606110009</t>
  </si>
  <si>
    <t>2026-06-12 10:48:00</t>
  </si>
  <si>
    <t>MCG202606110010</t>
  </si>
  <si>
    <t>2026-06-12 10:48:36</t>
  </si>
  <si>
    <t>MCG202606110006</t>
  </si>
  <si>
    <t>2026-06-12 10:48:12</t>
  </si>
  <si>
    <t>MCG202606100030</t>
  </si>
  <si>
    <t>2026-06-12 10:48:23</t>
  </si>
  <si>
    <t>MCG202606260083</t>
  </si>
  <si>
    <t>2026-06-29 11:37:54</t>
  </si>
  <si>
    <t>MCG202606120008</t>
  </si>
  <si>
    <t>2026-06-15 13:38:32</t>
  </si>
  <si>
    <t>MCG202606160002</t>
  </si>
  <si>
    <t>2026-06-17 11:20:23</t>
  </si>
  <si>
    <t>MCG202606160005</t>
  </si>
  <si>
    <t>2026-06-17 11:20:58</t>
  </si>
  <si>
    <t>MCG202606160006</t>
  </si>
  <si>
    <t>2026-06-17 11:23:25</t>
  </si>
  <si>
    <t>MCG202606160003</t>
  </si>
  <si>
    <t>2026-06-17 11:20:39</t>
  </si>
  <si>
    <t>MCG202606160004</t>
  </si>
  <si>
    <t>2026-06-17 11:20:49</t>
  </si>
  <si>
    <t>MCG202606160007</t>
  </si>
  <si>
    <t>2026-06-17 11:23:46</t>
  </si>
  <si>
    <t>MCG202606150009</t>
  </si>
  <si>
    <t>2026-06-17 11:20:31</t>
  </si>
  <si>
    <t>MCG202606150010</t>
  </si>
  <si>
    <t>2026-06-17 11:21:47</t>
  </si>
  <si>
    <t>仿棉拉架平纹-180G（印花底布）</t>
  </si>
  <si>
    <t>MCG202606150011</t>
  </si>
  <si>
    <t>2026-06-17 11:21:35</t>
  </si>
  <si>
    <t>MCG202606150012</t>
  </si>
  <si>
    <t>2026-06-17 11:21:27</t>
  </si>
  <si>
    <t>MCG202606150013</t>
  </si>
  <si>
    <t>2026-06-17 11:21:17</t>
  </si>
  <si>
    <t>MCG202606150014</t>
  </si>
  <si>
    <t>2026-06-17 11:21:07</t>
  </si>
  <si>
    <t>MCG202606180017</t>
  </si>
  <si>
    <t>2026-06-22 14:53:31</t>
  </si>
  <si>
    <t>MCG202606170033</t>
  </si>
  <si>
    <t>2026-06-22 14:53:38</t>
  </si>
  <si>
    <t>MCG202606170034</t>
  </si>
  <si>
    <t>2026-06-22 14:53:46</t>
  </si>
  <si>
    <t>MCG202606170035</t>
  </si>
  <si>
    <t>2026-06-22 14:53:54</t>
  </si>
  <si>
    <t>MCG202606220001</t>
  </si>
  <si>
    <t>2026-06-23 11:50:28</t>
  </si>
  <si>
    <t>MCG202606240013</t>
  </si>
  <si>
    <t>2026-06-25 11:45:31</t>
  </si>
  <si>
    <t>MCG202606240001</t>
  </si>
  <si>
    <t>2026-06-25 11:45:24</t>
  </si>
  <si>
    <t>MCG202606240034</t>
  </si>
  <si>
    <t>2026-06-26 10:59:07</t>
  </si>
  <si>
    <t>MCG202606240030</t>
  </si>
  <si>
    <t>2026-06-26 10:59:00</t>
  </si>
  <si>
    <t>MCG202606240029</t>
  </si>
  <si>
    <t>2026-06-26 10:59:15</t>
  </si>
  <si>
    <t>MCG202606240028</t>
  </si>
  <si>
    <t>2026-06-26 10:59:23</t>
  </si>
  <si>
    <t>MCG202606240026</t>
  </si>
  <si>
    <t>2026-06-26 10:59:30</t>
  </si>
  <si>
    <t>MCG202606240025</t>
  </si>
  <si>
    <t>2301-佛山市缤涛纺织有限公司</t>
  </si>
  <si>
    <t>2026-06-26 10:59:38</t>
  </si>
  <si>
    <t>MCG202606240035</t>
  </si>
  <si>
    <t>周尚诚棉纺织有限公司</t>
  </si>
  <si>
    <t/>
  </si>
  <si>
    <t>2026-06-26 10:58:05</t>
  </si>
  <si>
    <t>棉涤拉架罗纹-280G</t>
  </si>
  <si>
    <t>MCG202606150008</t>
  </si>
  <si>
    <t>2026-06-16 10:29:23</t>
  </si>
  <si>
    <t>棉涤拉架平纹-180G</t>
  </si>
  <si>
    <t>MCG202606150007</t>
  </si>
  <si>
    <t>2026-06-16 10:29:11</t>
  </si>
  <si>
    <t>MCG202606150005</t>
  </si>
  <si>
    <t>2026-06-16 10:29:02</t>
  </si>
  <si>
    <t>MCG202606150003</t>
  </si>
  <si>
    <t>2026-06-16 10:28:52</t>
  </si>
  <si>
    <t>MCG202606150002</t>
  </si>
  <si>
    <t>2026-06-16 10:28:42</t>
  </si>
  <si>
    <t>MCG202606090036</t>
  </si>
  <si>
    <t>2026-06-11 09:46:58</t>
  </si>
  <si>
    <t>MCG202606050029</t>
  </si>
  <si>
    <t>2026-06-06 14:47:48</t>
  </si>
  <si>
    <t>MCG202606050028</t>
  </si>
  <si>
    <t>2026-06-06 14:47:10</t>
  </si>
  <si>
    <t>MCG202606050024</t>
  </si>
  <si>
    <t>2026-06-06 14:47:19</t>
  </si>
  <si>
    <t>MCG202606050026</t>
  </si>
  <si>
    <t>2026-06-06 14:47:58</t>
  </si>
  <si>
    <t>MCG202606050023</t>
  </si>
  <si>
    <t>2026-06-06 14:47:38</t>
  </si>
  <si>
    <t>MCG202606050022</t>
  </si>
  <si>
    <t>2026-06-06 14:47:29</t>
  </si>
  <si>
    <t>MCG202606010089</t>
  </si>
  <si>
    <t>2026-06-02 14:00:47</t>
  </si>
  <si>
    <t>MCG202606010088</t>
  </si>
  <si>
    <t>2026-06-02 14:00:10</t>
  </si>
  <si>
    <t>MCG202606010086</t>
  </si>
  <si>
    <t>2026-06-02 13:59:51</t>
  </si>
  <si>
    <t>MCG202606010085</t>
  </si>
  <si>
    <t>2026-06-02 14:00:38</t>
  </si>
  <si>
    <t>MCG202606010024</t>
  </si>
  <si>
    <t>2026-06-02 14:00:00</t>
  </si>
  <si>
    <t>MCG202606010022</t>
  </si>
  <si>
    <t>2026-06-02 13:59:41</t>
  </si>
  <si>
    <t>棉涤拉架卫衣-230G</t>
  </si>
  <si>
    <t>MCG202606010005</t>
  </si>
  <si>
    <t>2026-06-02 14:00:28</t>
  </si>
  <si>
    <t>MCG202606010003</t>
  </si>
  <si>
    <t>2026-06-02 14:00:57</t>
  </si>
  <si>
    <t>MCG202606010004</t>
  </si>
  <si>
    <t>2026-06-02 14:00:19</t>
  </si>
  <si>
    <t>MCG202606300007</t>
  </si>
  <si>
    <t>432.13-周尚诚棉纺织有限公司</t>
  </si>
  <si>
    <t>2026-07-01 11:21:46</t>
  </si>
  <si>
    <t>MCG202606220021</t>
  </si>
  <si>
    <t>NNF拉链</t>
  </si>
  <si>
    <t>2026-06-29 11:44:40</t>
  </si>
  <si>
    <t>3#尼龙注塑闭口链+自动头 65CM</t>
  </si>
  <si>
    <t>MCG202606220017</t>
  </si>
  <si>
    <t>2026-06-29 11:41:12</t>
  </si>
  <si>
    <t>MCG202606220015</t>
  </si>
  <si>
    <t>2026-06-29 11:41:20</t>
  </si>
  <si>
    <t>MCG202606220008</t>
  </si>
  <si>
    <t>12-NNF拉链</t>
  </si>
  <si>
    <t>2026-06-29 11:44:32</t>
  </si>
  <si>
    <t>3#勿尾自动头 胶牙拉链 55CM</t>
  </si>
  <si>
    <t>MCG202607070045</t>
  </si>
  <si>
    <t>2026-07-08 11:22:39</t>
  </si>
  <si>
    <t>3#开尾自动头 胶牙拉链 45CM</t>
  </si>
  <si>
    <t>MCG202607070036</t>
  </si>
  <si>
    <t>10-NNF拉链</t>
  </si>
  <si>
    <t>2026-07-08 11:22:30</t>
  </si>
  <si>
    <t>3#开尾自动头 胶牙拉链 50CM</t>
  </si>
  <si>
    <t>MCG202607070018</t>
  </si>
  <si>
    <t>SBS-福建浔兴拉链科技股份有限公司</t>
  </si>
  <si>
    <t>4-2-SBS-福建浔兴拉链科技股份有限公司</t>
  </si>
  <si>
    <t>2026-07-08 11:22:04</t>
  </si>
  <si>
    <t>3#隐形蕾丝带闭口链+自动头 40CM</t>
  </si>
  <si>
    <t>MCG202604270010</t>
  </si>
  <si>
    <t>3-NNF拉链</t>
  </si>
  <si>
    <t>2026-04-30 18:34:13</t>
  </si>
  <si>
    <t>3#尼龙注塑闭口链+自动头 55CM</t>
  </si>
  <si>
    <t>MCG202606250014</t>
  </si>
  <si>
    <t>小米纺织</t>
  </si>
  <si>
    <t>25-小米纺织</t>
  </si>
  <si>
    <t>2026-06-26 10:58:36</t>
  </si>
  <si>
    <t>人棉坑条布-260G</t>
  </si>
  <si>
    <t>MCG202607030046</t>
  </si>
  <si>
    <t>永亨织带有限公司</t>
  </si>
  <si>
    <t>4-永亨织带有限公司</t>
  </si>
  <si>
    <t>2026-07-06 10:58:08</t>
  </si>
  <si>
    <t>魔术贴</t>
  </si>
  <si>
    <t>MCG202607030036</t>
  </si>
  <si>
    <t>杰兴（杰诺）布行</t>
  </si>
  <si>
    <t>2026-07-06 10:57:15</t>
  </si>
  <si>
    <t>全棉拉架平纹-190G</t>
  </si>
  <si>
    <t>MCG202607030030</t>
  </si>
  <si>
    <t>2026-07-06 10:57:06</t>
  </si>
  <si>
    <t>MCG202607030026</t>
  </si>
  <si>
    <t>75-杰兴（杰诺）布行</t>
  </si>
  <si>
    <t>2026-07-06 10:56:57</t>
  </si>
  <si>
    <t>MCG202606300016</t>
  </si>
  <si>
    <t>50-杰兴（杰诺）布行</t>
  </si>
  <si>
    <t>2026-07-03 11:19:58</t>
  </si>
  <si>
    <t>MCG202607020002</t>
  </si>
  <si>
    <t>优粤纺织</t>
  </si>
  <si>
    <t>40-优粤纺织</t>
  </si>
  <si>
    <t>2026-07-03 11:19:49</t>
  </si>
  <si>
    <t>竹纤维拉架平纹-180G</t>
  </si>
  <si>
    <t>MCG202607010040</t>
  </si>
  <si>
    <t>文盛行（原乾辰世景）</t>
  </si>
  <si>
    <t>2026-07-03 11:15:47</t>
  </si>
  <si>
    <t>涤平纹</t>
  </si>
  <si>
    <t>MCG202607010036</t>
  </si>
  <si>
    <t>44-文盛行（原乾辰世景）</t>
  </si>
  <si>
    <t>2026-07-03 11:16:16</t>
  </si>
  <si>
    <t>MCG202606300011</t>
  </si>
  <si>
    <t>2026-07-02 10:48:01</t>
  </si>
  <si>
    <t>MCG202606300010</t>
  </si>
  <si>
    <t>52-文盛行（原乾辰世景）</t>
  </si>
  <si>
    <t>2026-07-02 10:47:52</t>
  </si>
  <si>
    <t>MCG202607070013</t>
  </si>
  <si>
    <t>11-文盛行（原乾辰世景）</t>
  </si>
  <si>
    <t>2026-07-08 11:28:31</t>
  </si>
  <si>
    <t>MCG202607030011</t>
  </si>
  <si>
    <t>恒业布行（轻纺城F区）</t>
  </si>
  <si>
    <t>2026-07-06 10:57:24</t>
  </si>
  <si>
    <t>涤棉卫衣（无拉架）-280G</t>
  </si>
  <si>
    <t>MCG202607030012</t>
  </si>
  <si>
    <t>92-恒业布行（轻纺城F区）</t>
  </si>
  <si>
    <t>2026-07-06 10:57:33</t>
  </si>
  <si>
    <t>涤棉拉架罗纹-340G</t>
  </si>
  <si>
    <t>MCG202607070032</t>
  </si>
  <si>
    <t>隆发罗纹</t>
  </si>
  <si>
    <t>2026-07-08 11:28:22</t>
  </si>
  <si>
    <t>全棉2*2拉架罗纹-460G</t>
  </si>
  <si>
    <t>MCG202607070033</t>
  </si>
  <si>
    <t>50-隆发罗纹</t>
  </si>
  <si>
    <t>2026-07-08 11:28:14</t>
  </si>
  <si>
    <t>MCG202607030009</t>
  </si>
  <si>
    <t>2026-07-06 11:00:03</t>
  </si>
  <si>
    <t>MCG202607030015</t>
  </si>
  <si>
    <t>2026-07-06 10:55:44</t>
  </si>
  <si>
    <t>全棉2*2拉架罗纹-400G</t>
  </si>
  <si>
    <t>MCG202607030018</t>
  </si>
  <si>
    <t>2026-07-06 10:55:35</t>
  </si>
  <si>
    <t>MCG202607030005</t>
  </si>
  <si>
    <t>100-隆发罗纹</t>
  </si>
  <si>
    <t>2026-07-06 10:55:26</t>
  </si>
  <si>
    <t>MCG202607010043</t>
  </si>
  <si>
    <t>2026-07-02 10:48:29</t>
  </si>
  <si>
    <t>MCG202607010026</t>
  </si>
  <si>
    <t>50-2-隆发罗纹</t>
  </si>
  <si>
    <t>2026-07-02 10:48:20</t>
  </si>
  <si>
    <t>MCG202606300005</t>
  </si>
  <si>
    <t>怡丰布行</t>
  </si>
  <si>
    <t>50-怡丰布行</t>
  </si>
  <si>
    <t>2026-07-02 10:48:10</t>
  </si>
  <si>
    <t>棉涤卫衣-280G</t>
  </si>
  <si>
    <t>MCG202606300008</t>
  </si>
  <si>
    <t>宝年丰布业</t>
  </si>
  <si>
    <t>2026-07-02 10:49:07</t>
  </si>
  <si>
    <t>全棉拉架平纹-180G</t>
  </si>
  <si>
    <t>MCG202606300004</t>
  </si>
  <si>
    <t>2026-07-02 10:48:58</t>
  </si>
  <si>
    <t>MCG202606290029</t>
  </si>
  <si>
    <t>72-宝年丰布业</t>
  </si>
  <si>
    <t>2026-07-01 19:02:48</t>
  </si>
  <si>
    <t>MCG202607070038</t>
  </si>
  <si>
    <t>2026-07-08 11:27:03</t>
  </si>
  <si>
    <t>MCG202607070009</t>
  </si>
  <si>
    <t>2026-07-08 11:26:54</t>
  </si>
  <si>
    <t>MCG202607070007</t>
  </si>
  <si>
    <t>2026-07-08 11:27:29</t>
  </si>
  <si>
    <t>MCG202607070005</t>
  </si>
  <si>
    <t>2026-07-08 11:27:20</t>
  </si>
  <si>
    <t>MCG202607070001</t>
  </si>
  <si>
    <t>2026-07-08 11:27:38</t>
  </si>
  <si>
    <t>MCG202607070002</t>
  </si>
  <si>
    <t>181-宝年丰布业</t>
  </si>
  <si>
    <t>2026-07-08 11:27:12</t>
  </si>
  <si>
    <t>MCG202606300003</t>
  </si>
  <si>
    <t>广东健业纺织集团有限公司</t>
  </si>
  <si>
    <t>50-广东健业纺织集团有限公司</t>
  </si>
  <si>
    <t>2026-07-06 10:52:57</t>
  </si>
  <si>
    <t>坑条布</t>
  </si>
  <si>
    <t>MCG202607080044</t>
  </si>
  <si>
    <t>716-广东健业纺织集团有限公司</t>
  </si>
  <si>
    <t>2026-07-08 18:15:11</t>
  </si>
  <si>
    <t>全涤2*2拉架罗纹-180G</t>
  </si>
  <si>
    <t>MCG202607030014</t>
  </si>
  <si>
    <t>琼生布行</t>
  </si>
  <si>
    <t>25-琼生布行</t>
  </si>
  <si>
    <t>2026-07-06 11:00:11</t>
  </si>
  <si>
    <t>涤棉拉架卫衣-290G</t>
  </si>
  <si>
    <t>MCG202607010039</t>
  </si>
  <si>
    <t>50-琼生布行</t>
  </si>
  <si>
    <t>2026-07-02 10:48:39</t>
  </si>
  <si>
    <t>彩棉拉架平纹-180G</t>
  </si>
  <si>
    <t>MCG202606290027</t>
  </si>
  <si>
    <t>2026-07-01 11:22:24</t>
  </si>
  <si>
    <t>MCG202606290010</t>
  </si>
  <si>
    <t>2026-07-01 11:22:14</t>
  </si>
  <si>
    <t>MCG202606290004</t>
  </si>
  <si>
    <t>2026-07-01 11:22:33</t>
  </si>
  <si>
    <t>MCG202606290001</t>
  </si>
  <si>
    <t>115-杰兴（杰诺）布行</t>
  </si>
  <si>
    <t>2026-07-02 14:53:58</t>
  </si>
  <si>
    <t>棉涤拉架平纹-190G</t>
  </si>
  <si>
    <t>MCG202606300012</t>
  </si>
  <si>
    <t>鑫悦纺织</t>
  </si>
  <si>
    <t>20-鑫悦纺织</t>
  </si>
  <si>
    <t>2026-07-06 10:56:31</t>
  </si>
  <si>
    <t>运动瑜伽面料-180G</t>
  </si>
  <si>
    <t>MCG202607020010</t>
  </si>
  <si>
    <t>佛山市鑫顺旺纺织有限公司</t>
  </si>
  <si>
    <t>2026-07-06 11:01:22</t>
  </si>
  <si>
    <t>涤棉拉架平纹-180G</t>
  </si>
  <si>
    <t>MCG202607020011</t>
  </si>
  <si>
    <t>2026-07-06 11:01:30</t>
  </si>
  <si>
    <t>MCG202607010027</t>
  </si>
  <si>
    <t>2026-07-06 11:01:13</t>
  </si>
  <si>
    <t>MCG202607010029</t>
  </si>
  <si>
    <t>2026-07-06 11:00:55</t>
  </si>
  <si>
    <t>MCG202607010022</t>
  </si>
  <si>
    <t>2026-07-06 11:00:20</t>
  </si>
  <si>
    <t>MCG202607010019</t>
  </si>
  <si>
    <t>2026-07-06 11:01:04</t>
  </si>
  <si>
    <t>MCG202607010020</t>
  </si>
  <si>
    <t>2026-07-06 11:00:46</t>
  </si>
  <si>
    <t>MCG202607010017</t>
  </si>
  <si>
    <t>2026-07-06 11:00:29</t>
  </si>
  <si>
    <t>MCG202607010018</t>
  </si>
  <si>
    <t>455-佛山市鑫顺旺纺织有限公司</t>
  </si>
  <si>
    <t>2026-07-06 11:00:38</t>
  </si>
  <si>
    <t>MCG202607010015</t>
  </si>
  <si>
    <t>2026-07-06 11:02:50</t>
  </si>
  <si>
    <t>MCG202607010016</t>
  </si>
  <si>
    <t>2026-07-06 11:02:41</t>
  </si>
  <si>
    <t>MCG202607010014</t>
  </si>
  <si>
    <t>2026-07-06 11:02:32</t>
  </si>
  <si>
    <t>MCG202607010012</t>
  </si>
  <si>
    <t>2026-07-06 11:02:14</t>
  </si>
  <si>
    <t>MCG202607010013</t>
  </si>
  <si>
    <t>2026-07-06 11:02:23</t>
  </si>
  <si>
    <t>MCG202607010010</t>
  </si>
  <si>
    <t>2026-07-06 11:02:06</t>
  </si>
  <si>
    <t>MCG202607010011</t>
  </si>
  <si>
    <t>2026-07-06 11:01:57</t>
  </si>
  <si>
    <t>MCG202607010008</t>
  </si>
  <si>
    <t>2026-07-06 11:01:48</t>
  </si>
  <si>
    <t>MCG202607010009</t>
  </si>
  <si>
    <t>490-佛山市鑫顺旺纺织有限公司</t>
  </si>
  <si>
    <t>2026-07-06 11:01:39</t>
  </si>
  <si>
    <t>MCG202607070015</t>
  </si>
  <si>
    <t>铭品布业</t>
  </si>
  <si>
    <t>2026-07-08 11:23:33</t>
  </si>
  <si>
    <t>色织格子</t>
  </si>
  <si>
    <t>MCG202607060003</t>
  </si>
  <si>
    <t>162-铭品布业</t>
  </si>
  <si>
    <t>2026-07-08 11:23:41</t>
  </si>
  <si>
    <t>MCG202607010034</t>
  </si>
  <si>
    <t>45-铭品布业</t>
  </si>
  <si>
    <t>2026-07-06 10:56:40</t>
  </si>
  <si>
    <t>MCG202607070021</t>
  </si>
  <si>
    <t>吴江市宏达喷织厂</t>
  </si>
  <si>
    <t>5-吴江市宏达喷织厂</t>
  </si>
  <si>
    <t>2026-07-08 11:27:47</t>
  </si>
  <si>
    <t>50D四面弹</t>
  </si>
  <si>
    <t>MCG202607060004</t>
  </si>
  <si>
    <t>10-吴江市宏达喷织厂</t>
  </si>
  <si>
    <t>2026-07-07 11:26:06</t>
  </si>
  <si>
    <t>MCG202607010042</t>
  </si>
  <si>
    <t>创盛（宇鑫）纺织</t>
  </si>
  <si>
    <t>150-创盛（宇鑫）纺织</t>
  </si>
  <si>
    <t>2026-07-08 11:28:05</t>
  </si>
  <si>
    <t>棉大卫衣扎染-300G</t>
  </si>
  <si>
    <t>MCG202607070027</t>
  </si>
  <si>
    <t>进盛纺织</t>
  </si>
  <si>
    <t>12-进盛纺织</t>
  </si>
  <si>
    <t>2026-07-08 11:27:56</t>
  </si>
  <si>
    <t>9088半工艺</t>
  </si>
  <si>
    <t>MCG202607030002</t>
  </si>
  <si>
    <t>3-2-NNF拉链</t>
  </si>
  <si>
    <t>2026-07-06 10:57:50</t>
  </si>
  <si>
    <t>3#尼龙注塑闭口链+自动头 50CM</t>
  </si>
  <si>
    <t>MCG202607060002</t>
  </si>
  <si>
    <t>4-SBS-福建浔兴拉链科技股份有限公司</t>
  </si>
  <si>
    <t>2026-07-07 11:22:29</t>
  </si>
  <si>
    <t>3#隐形蕾丝带闭口链+自动头 55CM</t>
  </si>
  <si>
    <t>MCG202607020001</t>
  </si>
  <si>
    <t>2026-07-03 11:19:13</t>
  </si>
  <si>
    <t>MCG202607010049</t>
  </si>
  <si>
    <t>2026-07-03 11:17:44</t>
  </si>
  <si>
    <t>全棉拉架坑条-180G</t>
  </si>
  <si>
    <t>MCG202607010045</t>
  </si>
  <si>
    <t>2026-07-03 11:17:26</t>
  </si>
  <si>
    <t>MCG202607010046</t>
  </si>
  <si>
    <t>2026-07-03 11:17:35</t>
  </si>
  <si>
    <t>MCG202607010047</t>
  </si>
  <si>
    <t>2026-07-03 11:17:18</t>
  </si>
  <si>
    <t>MCG202607010048</t>
  </si>
  <si>
    <t>2026-07-03 11:17:08</t>
  </si>
  <si>
    <t>MCG202607010044</t>
  </si>
  <si>
    <t>2026-07-03 11:19:05</t>
  </si>
  <si>
    <t>MCG202607010038</t>
  </si>
  <si>
    <t>2026-07-03 11:18:56</t>
  </si>
  <si>
    <t>MCG202607010030</t>
  </si>
  <si>
    <t>2026-07-03 11:18:20</t>
  </si>
  <si>
    <t>MCG202607010031</t>
  </si>
  <si>
    <t>2026-07-03 11:18:47</t>
  </si>
  <si>
    <t>MCG202607010028</t>
  </si>
  <si>
    <t>2026-07-03 11:18:11</t>
  </si>
  <si>
    <t>MCG202607010024</t>
  </si>
  <si>
    <t>2026-07-03 11:17:53</t>
  </si>
  <si>
    <t>MCG202607010025</t>
  </si>
  <si>
    <t>2026-07-03 11:18:02</t>
  </si>
  <si>
    <t>MCG202607010023</t>
  </si>
  <si>
    <t>2026-07-03 11:18:38</t>
  </si>
  <si>
    <t>MCG202607010021</t>
  </si>
  <si>
    <t>411-宝年丰布业</t>
  </si>
  <si>
    <t>2026-07-03 11:18:29</t>
  </si>
  <si>
    <t>MCG202607030041</t>
  </si>
  <si>
    <t>2026-07-06 10:55:09</t>
  </si>
  <si>
    <t>MCG202607030042</t>
  </si>
  <si>
    <t>2026-07-06 10:55:18</t>
  </si>
  <si>
    <t>MCG202607030040</t>
  </si>
  <si>
    <t>2026-07-06 10:55:00</t>
  </si>
  <si>
    <t>MCG202607030039</t>
  </si>
  <si>
    <t>2026-07-06 10:54:51</t>
  </si>
  <si>
    <t>MCG202607030037</t>
  </si>
  <si>
    <t>2026-07-06 10:54:43</t>
  </si>
  <si>
    <t>MCG202607030029</t>
  </si>
  <si>
    <t>2026-07-06 10:54:34</t>
  </si>
  <si>
    <t>MCG202607030024</t>
  </si>
  <si>
    <t>2026-07-06 10:54:25</t>
  </si>
  <si>
    <t>MCG202607030020</t>
  </si>
  <si>
    <t>2026-07-06 10:54:17</t>
  </si>
  <si>
    <t>MCG202607030003</t>
  </si>
  <si>
    <t>2026-07-06 10:53:59</t>
  </si>
  <si>
    <t>MCG202607030001</t>
  </si>
  <si>
    <t>2026-07-06 10:54:08</t>
  </si>
  <si>
    <t>MCG202607020012</t>
  </si>
  <si>
    <t>247-宝年丰布业</t>
  </si>
  <si>
    <t>2026-07-06 10:53:50</t>
  </si>
  <si>
    <t>MCG202607060008</t>
  </si>
  <si>
    <t>2026-07-08 11:24:08</t>
  </si>
  <si>
    <t>棉涤卫衣（无拉架）-280G</t>
  </si>
  <si>
    <t>MCG202607060009</t>
  </si>
  <si>
    <t>2026-07-08 11:26:19</t>
  </si>
  <si>
    <t>全棉拉架罗纹-290G</t>
  </si>
  <si>
    <t>MCG202607060011</t>
  </si>
  <si>
    <t>2026-07-08 11:25:52</t>
  </si>
  <si>
    <t>MCG202607060012</t>
  </si>
  <si>
    <t>2026-07-08 11:26:45</t>
  </si>
  <si>
    <t>MCG202607060014</t>
  </si>
  <si>
    <t>2026-07-08 11:26:01</t>
  </si>
  <si>
    <t>MCG202607060015</t>
  </si>
  <si>
    <t>2026-07-08 11:26:27</t>
  </si>
  <si>
    <t>MCG202607060017</t>
  </si>
  <si>
    <t>2026-07-08 11:26:10</t>
  </si>
  <si>
    <t>MCG202607060018</t>
  </si>
  <si>
    <t>2026-07-08 11:26:36</t>
  </si>
  <si>
    <t>MCG202607060005</t>
  </si>
  <si>
    <t>2026-07-08 11:23:59</t>
  </si>
  <si>
    <t>棉1*1拉架罗纹-210G</t>
  </si>
  <si>
    <t>MCG202607060001</t>
  </si>
  <si>
    <t>420-怡丰布行</t>
  </si>
  <si>
    <t>2026-07-08 11:23:50</t>
  </si>
  <si>
    <t>MCG202607030044</t>
  </si>
  <si>
    <t>2026-07-06 10:53:41</t>
  </si>
  <si>
    <t>MCG202607030023</t>
  </si>
  <si>
    <t>2026-07-06 10:53:32</t>
  </si>
  <si>
    <t>MCG202607030008</t>
  </si>
  <si>
    <t>2026-07-06 10:53:24</t>
  </si>
  <si>
    <t>MCG202607030017</t>
  </si>
  <si>
    <t>2026-07-06 10:53:14</t>
  </si>
  <si>
    <t>MCG202607030004</t>
  </si>
  <si>
    <t>205-怡丰布行</t>
  </si>
  <si>
    <t>2026-07-06 10:53:06</t>
  </si>
  <si>
    <t>序号/序号组合</t>
  </si>
  <si>
    <t>采购行数</t>
  </si>
  <si>
    <t>分组金额合计</t>
  </si>
  <si>
    <t>采购单号/状态</t>
  </si>
  <si>
    <t>104-佛山市缤涛纺织有限公司</t>
  </si>
  <si>
    <t>MCG202605050065,MCG202605050053,MCG202605050054,MCG202605050041,MCG202605050038,MCG202605050036,MCG202605050025,MCG202605050013</t>
  </si>
  <si>
    <t>182-佛山市缤涛纺织有限公司</t>
  </si>
  <si>
    <t>MCG202605050073,MCG202605050068,MCG202605050067,MCG202605050066,MCG202605050062,MCG202605050052,MCG202605050049,MCG202605050040,MCG202605050034,MCG202605050024,MCG202605050019,MCG202605050018,MCG202605050012</t>
  </si>
  <si>
    <t>208-佛山市缤涛纺织有限公司</t>
  </si>
  <si>
    <t>MCG202605050069,MCG202605050071,MCG202605050063,MCG202605050064,MCG202605050050,MCG202605050051,MCG202605050039,MCG202605050037,MCG202605050033,MCG202605050035,MCG202605050011</t>
  </si>
  <si>
    <t>MCG202605060036,MCG202605060033,MCG202605060007</t>
  </si>
  <si>
    <t>MCG202605070014,MCG202605070011</t>
  </si>
  <si>
    <t>MCG202605080011,MCG202605080004</t>
  </si>
  <si>
    <t>MCG202605110046,MCG202605110044,MCG202605110001</t>
  </si>
  <si>
    <t>MCG202605130038,MCG202605130036,MCG202605120027,MCG202605120028,MCG202605120026</t>
  </si>
  <si>
    <t>MCG202605150013,MCG202605150011,MCG202605150012,MCG202605150008</t>
  </si>
  <si>
    <t>MCG202605180005,MCG202605180006,MCG202605180007,MCG202605150031,MCG202605150024</t>
  </si>
  <si>
    <t>MCG202605190028,MCG202605190017,MCG202605190018</t>
  </si>
  <si>
    <t>MCG202605260035,MCG202605260032</t>
  </si>
  <si>
    <t>MCG202605270035,MCG202605270013,MCG202605270001,MCG202605260049,MCG202605260048,MCG202605260047,MCG202605260041,MCG202605260040</t>
  </si>
  <si>
    <t>MCG202606010035,MCG202606010019</t>
  </si>
  <si>
    <t>MCG202606260024,MCG202606260022,MCG202606240027,MCG202606240015,MCG202606090035,MCG202606050049,MCG202606040014,MCG202606040015,MCG202606040008,MCG202606030083,MCG202606030082,MCG202606030081,MCG202606030080,MCG202606030078,MCG202606030077,MCG202606030076,MCG202606030073,MCG202606030067,MCG202606030066,MCG202606030065,MCG202606030064,MCG202606030063,MCG202606030061,MCG202606030057,MCG202606030055,MCG202606030053,MCG202606030048,MCG202606030046,MCG202606030044,MCG202606030034,MCG202606030032,MCG202606030031,MCG202606030030,MCG202606030029,MCG202606030025,MCG202606030020,MCG202606030018,MCG202606030016,MCG202606030015,MCG202606030014,MCG202606030013</t>
  </si>
  <si>
    <t>MCG202606030060,MCG202606030058,MCG202606030054,MCG202606030052,MCG202606030043,MCG202606030035,MCG202606030026,MCG202606030028,MCG202606030005</t>
  </si>
  <si>
    <t>MCG202606050050,MCG202606040027,MCG202606030059,MCG202606030056,MCG202606030047,MCG202606030045,MCG202606030024,MCG202606030023,MCG202606030017</t>
  </si>
  <si>
    <t>MCG202606050048,MCG202606050033,MCG202606040012,MCG202606030072</t>
  </si>
  <si>
    <t>MCG202606260080,MCG202606260077,MCG202606260046,MCG202606260037,MCG202606260027,MCG202606260023</t>
  </si>
  <si>
    <t>MCG202606110009,MCG202606110010,MCG202606110006,MCG202606100030</t>
  </si>
  <si>
    <t>13-佛山市缤涛纺织有限公司</t>
  </si>
  <si>
    <t>13-2-佛山市缤涛纺织有限公司</t>
  </si>
  <si>
    <t>65-佛山市缤涛纺织有限公司</t>
  </si>
  <si>
    <t>MCG202606160002,MCG202606160005,MCG202606160006</t>
  </si>
  <si>
    <t>299-佛山市缤涛纺织有限公司</t>
  </si>
  <si>
    <t>MCG202606160003,MCG202606160004,MCG202606160007,MCG202606150009,MCG202606150010,MCG202606150011,MCG202606150012,MCG202606150013,MCG202606150014</t>
  </si>
  <si>
    <t>91-佛山市缤涛纺织有限公司</t>
  </si>
  <si>
    <t>MCG202606180017,MCG202606170033,MCG202606170034,MCG202606170035</t>
  </si>
  <si>
    <t>26-佛山市缤涛纺织有限公司</t>
  </si>
  <si>
    <t>52-佛山市缤涛纺织有限公司</t>
  </si>
  <si>
    <t>MCG202606240013,MCG202606240001</t>
  </si>
  <si>
    <t>91-2-佛山市缤涛纺织有限公司</t>
  </si>
  <si>
    <t>MCG202606240034,MCG202606240030,MCG202606240029,MCG202606240028,MCG202606240026,MCG202606240025</t>
  </si>
  <si>
    <t>MCG202606150008,MCG202606150007,MCG202606150005,MCG202606150003,MCG202606150002</t>
  </si>
  <si>
    <t>MCG202606050029,MCG202606050028,MCG202606050024,MCG202606050026,MCG202606050023,MCG202606050022</t>
  </si>
  <si>
    <t>MCG202606010089,MCG202606010088,MCG202606010086,MCG202606010085,MCG202606010024,MCG202606010022,MCG202606010005,MCG202606010003,MCG202606010004</t>
  </si>
  <si>
    <t>MCG202606220021,MCG202606220017,MCG202606220015,MCG202606220008</t>
  </si>
  <si>
    <t>14-NNF拉链</t>
  </si>
  <si>
    <t>MCG202607070045,MCG202607070036,MCG202607070018</t>
  </si>
  <si>
    <t>MCG202607030036,MCG202607030030,MCG202607030026</t>
  </si>
  <si>
    <t>MCG202607010040,MCG202607010036</t>
  </si>
  <si>
    <t>MCG202606300011,MCG202606300010</t>
  </si>
  <si>
    <t>MCG202607070032,MCG202607070033</t>
  </si>
  <si>
    <t>MCG202607030009,MCG202607030015,MCG202607030018,MCG202607030005</t>
  </si>
  <si>
    <t>MCG202607010043,MCG202607010026</t>
  </si>
  <si>
    <t>MCG202606300008,MCG202606300004,MCG202606290029</t>
  </si>
  <si>
    <t>MCG202607070038,MCG202607070009,MCG202607070007,MCG202607070005,MCG202607070001,MCG202607070002</t>
  </si>
  <si>
    <t>MCG202606290027,MCG202606290010,MCG202606290004,MCG202606290001</t>
  </si>
  <si>
    <t>MCG202607020010,MCG202607020011,MCG202607010027,MCG202607010029,MCG202607010022,MCG202607010019,MCG202607010020,MCG202607010017,MCG202607010018</t>
  </si>
  <si>
    <t>MCG202607010015,MCG202607010016,MCG202607010014,MCG202607010012,MCG202607010013,MCG202607010010,MCG202607010011,MCG202607010008,MCG202607010009</t>
  </si>
  <si>
    <t>MCG202607070015,MCG202607060003</t>
  </si>
  <si>
    <t>MCG202607020001,MCG202607010049,MCG202607010045,MCG202607010046,MCG202607010047,MCG202607010048,MCG202607010044,MCG202607010038,MCG202607010030,MCG202607010031,MCG202607010028,MCG202607010024,MCG202607010025,MCG202607010023,MCG202607010021</t>
  </si>
  <si>
    <t>MCG202607030041,MCG202607030042,MCG202607030040,MCG202607030039,MCG202607030037,MCG202607030029,MCG202607030024,MCG202607030020,MCG202607030003,MCG202607030001,MCG202607020012</t>
  </si>
  <si>
    <t>MCG202607060008,MCG202607060009,MCG202607060011,MCG202607060012,MCG202607060014,MCG202607060015,MCG202607060017,MCG202607060018,MCG202607060005,MCG202607060001</t>
  </si>
  <si>
    <t>MCG202607030044,MCG202607030023,MCG202607030008,MCG202607030017,MCG202607030004</t>
  </si>
  <si>
    <t>1</t>
  </si>
  <si>
    <t>缺少支付凭证</t>
  </si>
  <si>
    <t>2</t>
  </si>
  <si>
    <t>3</t>
  </si>
  <si>
    <t>4,5,6,7,8,9,10,11,12,13,14,15,16,17,18,19,20,21,22,23,24,25,26,27,28</t>
  </si>
  <si>
    <t>已分配支付凭证</t>
  </si>
  <si>
    <t>29</t>
  </si>
  <si>
    <t>30</t>
  </si>
  <si>
    <t>31</t>
  </si>
  <si>
    <t>32</t>
  </si>
  <si>
    <t>33</t>
  </si>
  <si>
    <t>34</t>
  </si>
  <si>
    <t>35</t>
  </si>
  <si>
    <t>36</t>
  </si>
  <si>
    <t>38,39,40,41,42,43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</si>
  <si>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</si>
  <si>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</si>
  <si>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</si>
  <si>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</si>
  <si>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</si>
  <si>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</si>
  <si>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</si>
  <si>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</si>
  <si>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</si>
  <si>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</si>
  <si>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</si>
  <si>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55,56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</si>
  <si>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</si>
  <si>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</si>
  <si>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</si>
  <si>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</si>
  <si>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</si>
  <si>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</si>
  <si>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</si>
  <si>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</si>
  <si>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</si>
  <si>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</si>
  <si>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</si>
  <si>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</si>
  <si>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</si>
  <si>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</si>
  <si>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</si>
  <si>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</si>
  <si>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</si>
  <si>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</si>
  <si>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</si>
  <si>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</si>
  <si>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</si>
  <si>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</si>
  <si>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</si>
  <si>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</si>
  <si>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</si>
  <si>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</si>
  <si>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原文件名</t>
  </si>
  <si>
    <t>新文件名</t>
  </si>
  <si>
    <t>结果</t>
  </si>
  <si>
    <t>1404-佛山市缤涛纺织有限公司.jpg</t>
  </si>
  <si>
    <t>无需改名</t>
  </si>
  <si>
    <t>2301-佛山市缤涛纺织有限公司.jpg</t>
  </si>
  <si>
    <t>432.13-周尚诚棉纺织有限公司.jpg</t>
  </si>
  <si>
    <t>12-NNF拉链.jpg</t>
  </si>
  <si>
    <t>10-NNF拉链.jpg</t>
  </si>
  <si>
    <t>4-2-SBS-福建浔兴拉链科技股份有限公司.jpg</t>
  </si>
  <si>
    <t>3-NNF拉链.jpg</t>
  </si>
  <si>
    <t>25-小米纺织.jpg</t>
  </si>
  <si>
    <t>4-永亨织带有限公司.jpg</t>
  </si>
  <si>
    <t>75-杰兴（杰诺）布行.jpg</t>
  </si>
  <si>
    <t>50-杰兴（杰诺）布行.jpg</t>
  </si>
  <si>
    <t>40-优粤纺织.jpg</t>
  </si>
  <si>
    <t>44-文盛行（原乾辰世景）.jpg</t>
  </si>
  <si>
    <t>52-文盛行（原乾辰世景）.jpg</t>
  </si>
  <si>
    <t>11-文盛行（原乾辰世景）.jpg</t>
  </si>
  <si>
    <t>92-恒业布行（轻纺城F区）.jpg</t>
  </si>
  <si>
    <t>50-隆发罗纹.jpg</t>
  </si>
  <si>
    <t>100-隆发罗纹.jpg</t>
  </si>
  <si>
    <t>50-2-隆发罗纹.jpg</t>
  </si>
  <si>
    <t>50-怡丰布行.jpg</t>
  </si>
  <si>
    <t>72-宝年丰布业.jpg</t>
  </si>
  <si>
    <t>181-宝年丰布业.jpg</t>
  </si>
  <si>
    <t>50-广东健业纺织集团有限公司.jpg</t>
  </si>
  <si>
    <t>716-广东健业纺织集团有限公司.jpg</t>
  </si>
  <si>
    <t>25-琼生布行.jpg</t>
  </si>
  <si>
    <t>50-琼生布行.jpg</t>
  </si>
  <si>
    <t>115-杰兴（杰诺）布行.jpg</t>
  </si>
  <si>
    <t>20-鑫悦纺织.jpg</t>
  </si>
  <si>
    <t>455-佛山市鑫顺旺纺织有限公司.jpg</t>
  </si>
  <si>
    <t>490-佛山市鑫顺旺纺织有限公司.jpg</t>
  </si>
  <si>
    <t>162-铭品布业.jpg</t>
  </si>
  <si>
    <t>45-铭品布业.jpg</t>
  </si>
  <si>
    <t>5-吴江市宏达喷织厂.jpg</t>
  </si>
  <si>
    <t>10-吴江市宏达喷织厂.jpg</t>
  </si>
  <si>
    <t>150-创盛（宇鑫）纺织.jpg</t>
  </si>
  <si>
    <t>12-进盛纺织.jpg</t>
  </si>
  <si>
    <t>3-2-NNF拉链.jpg</t>
  </si>
  <si>
    <t>4-SBS-福建浔兴拉链科技股份有限公司.jpg</t>
  </si>
  <si>
    <t>411-宝年丰布业.jpg</t>
  </si>
  <si>
    <t>247-宝年丰布业.jpg</t>
  </si>
  <si>
    <t>420-怡丰布行.jpg</t>
  </si>
  <si>
    <t>205-怡丰布行.jpg</t>
  </si>
  <si>
    <t>手工处理</t>
  </si>
  <si>
    <t>手工</t>
  </si>
  <si>
    <t>1404-缤涛.jpg</t>
  </si>
  <si>
    <t>已改名</t>
  </si>
  <si>
    <t>10-拉链.jpg</t>
  </si>
  <si>
    <t>4-2-拉链.jpg</t>
  </si>
  <si>
    <t>4-带之尊.jpg</t>
  </si>
  <si>
    <t>150-一品.jpg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</si>
</sst>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Gemini%20Chrome&#19979;&#36733;\&#25253;&#38144;&#21333;2026&#24180;07&#26376;16&#2608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报销单"/>
    </sheetNames>
    <sheetDataSet>
      <sheetData sheetId="0">
        <row r="1">
          <cell r="D1" t="str">
            <v>采购物料</v>
          </cell>
          <cell r="E1" t="str">
            <v>物料名称</v>
          </cell>
          <cell r="F1" t="str">
            <v>核心面料</v>
          </cell>
          <cell r="G1" t="str">
            <v>公司颜色</v>
          </cell>
        </row>
        <row r="2">
          <cell r="D2" t="str">
            <v>M0016455</v>
          </cell>
          <cell r="E2" t="str">
            <v>仿棉拉架平纹-200G（阻燃）</v>
          </cell>
          <cell r="F2" t="str">
            <v>是</v>
          </cell>
          <cell r="G2" t="str">
            <v>大红</v>
          </cell>
        </row>
        <row r="3">
          <cell r="D3" t="str">
            <v>M0016454</v>
          </cell>
          <cell r="E3" t="str">
            <v>仿棉拉架平纹-200G（阻燃）</v>
          </cell>
          <cell r="F3" t="str">
            <v>是</v>
          </cell>
          <cell r="G3" t="str">
            <v>黑色</v>
          </cell>
        </row>
        <row r="4">
          <cell r="D4" t="str">
            <v>M00xt21001040193</v>
          </cell>
          <cell r="E4" t="str">
            <v>仿棉拉架平纹-200G（阻燃）</v>
          </cell>
          <cell r="F4" t="str">
            <v>是</v>
          </cell>
          <cell r="G4" t="str">
            <v>绿</v>
          </cell>
        </row>
        <row r="5">
          <cell r="D5" t="str">
            <v>M00xt21001040171</v>
          </cell>
          <cell r="E5" t="str">
            <v>仿棉拉架平纹-200G（阻燃）</v>
          </cell>
          <cell r="F5" t="str">
            <v>是</v>
          </cell>
          <cell r="G5" t="str">
            <v>宝蓝色</v>
          </cell>
        </row>
        <row r="6">
          <cell r="D6" t="str">
            <v>M0017518</v>
          </cell>
          <cell r="E6" t="str">
            <v>仿棉拉架平纹-200G（阻燃）</v>
          </cell>
          <cell r="F6" t="str">
            <v>是</v>
          </cell>
          <cell r="G6" t="str">
            <v>酒红色</v>
          </cell>
        </row>
        <row r="7">
          <cell r="D7" t="str">
            <v>M0016455</v>
          </cell>
          <cell r="E7" t="str">
            <v>仿棉拉架平纹-200G（阻燃）</v>
          </cell>
          <cell r="F7" t="str">
            <v>是</v>
          </cell>
          <cell r="G7" t="str">
            <v>大红</v>
          </cell>
        </row>
        <row r="8">
          <cell r="D8" t="str">
            <v>M00xt21001040171</v>
          </cell>
          <cell r="E8" t="str">
            <v>仿棉拉架平纹-200G（阻燃）</v>
          </cell>
          <cell r="F8" t="str">
            <v>是</v>
          </cell>
          <cell r="G8" t="str">
            <v>宝蓝色</v>
          </cell>
        </row>
        <row r="9">
          <cell r="D9" t="str">
            <v>M00xt21001040193</v>
          </cell>
          <cell r="E9" t="str">
            <v>仿棉拉架平纹-200G（阻燃）</v>
          </cell>
          <cell r="F9" t="str">
            <v>是</v>
          </cell>
          <cell r="G9" t="str">
            <v>绿</v>
          </cell>
        </row>
        <row r="10">
          <cell r="D10" t="str">
            <v>M0076983</v>
          </cell>
          <cell r="E10" t="str">
            <v>涤1*1拉架罗纹-260G（阻燃）</v>
          </cell>
          <cell r="F10" t="str">
            <v>是</v>
          </cell>
          <cell r="G10" t="str">
            <v>黑色</v>
          </cell>
        </row>
        <row r="11">
          <cell r="D11" t="str">
            <v>M0076983</v>
          </cell>
          <cell r="E11" t="str">
            <v>涤1*1拉架罗纹-260G（阻燃）</v>
          </cell>
          <cell r="F11" t="str">
            <v>是</v>
          </cell>
          <cell r="G11" t="str">
            <v>黑色</v>
          </cell>
        </row>
        <row r="12">
          <cell r="D12" t="str">
            <v>M0076982</v>
          </cell>
          <cell r="E12" t="str">
            <v>涤1*1拉架罗纹-260G（阻燃）</v>
          </cell>
          <cell r="F12" t="str">
            <v>是</v>
          </cell>
          <cell r="G12" t="str">
            <v>红色</v>
          </cell>
        </row>
        <row r="13">
          <cell r="D13" t="str">
            <v>M0076981</v>
          </cell>
          <cell r="E13" t="str">
            <v>涤1*1拉架罗纹-260G（阻燃）</v>
          </cell>
          <cell r="F13" t="str">
            <v>是</v>
          </cell>
          <cell r="G13" t="str">
            <v>深蓝色</v>
          </cell>
        </row>
        <row r="14">
          <cell r="D14" t="str">
            <v>M0076982</v>
          </cell>
          <cell r="E14" t="str">
            <v>涤1*1拉架罗纹-260G（阻燃）</v>
          </cell>
          <cell r="F14" t="str">
            <v>是</v>
          </cell>
          <cell r="G14" t="str">
            <v>红色</v>
          </cell>
        </row>
        <row r="15">
          <cell r="D15" t="str">
            <v>M0076980</v>
          </cell>
          <cell r="E15" t="str">
            <v>涤1*1拉架罗纹-260G（阻燃）</v>
          </cell>
          <cell r="F15" t="str">
            <v>是</v>
          </cell>
          <cell r="G15" t="str">
            <v>绿色</v>
          </cell>
        </row>
        <row r="16">
          <cell r="D16" t="str">
            <v>M0076982</v>
          </cell>
          <cell r="E16" t="str">
            <v>涤1*1拉架罗纹-260G（阻燃）</v>
          </cell>
          <cell r="F16" t="str">
            <v>是</v>
          </cell>
          <cell r="G16" t="str">
            <v>红色</v>
          </cell>
        </row>
        <row r="17">
          <cell r="D17" t="str">
            <v>M0076981</v>
          </cell>
          <cell r="E17" t="str">
            <v>涤1*1拉架罗纹-260G（阻燃）</v>
          </cell>
          <cell r="F17" t="str">
            <v>是</v>
          </cell>
          <cell r="G17" t="str">
            <v>深蓝色</v>
          </cell>
        </row>
        <row r="18">
          <cell r="D18" t="str">
            <v>M0076982</v>
          </cell>
          <cell r="E18" t="str">
            <v>涤1*1拉架罗纹-260G（阻燃）</v>
          </cell>
          <cell r="F18" t="str">
            <v>是</v>
          </cell>
          <cell r="G18" t="str">
            <v>红色</v>
          </cell>
        </row>
        <row r="19">
          <cell r="D19" t="str">
            <v>M0076981</v>
          </cell>
          <cell r="E19" t="str">
            <v>涤1*1拉架罗纹-260G（阻燃）</v>
          </cell>
          <cell r="F19" t="str">
            <v>是</v>
          </cell>
          <cell r="G19" t="str">
            <v>深蓝色</v>
          </cell>
        </row>
        <row r="20">
          <cell r="D20" t="str">
            <v>M0076982</v>
          </cell>
          <cell r="E20" t="str">
            <v>涤1*1拉架罗纹-260G（阻燃）</v>
          </cell>
          <cell r="F20" t="str">
            <v>是</v>
          </cell>
          <cell r="G20" t="str">
            <v>红色</v>
          </cell>
        </row>
        <row r="21">
          <cell r="D21" t="str">
            <v>M0076982</v>
          </cell>
          <cell r="E21" t="str">
            <v>涤1*1拉架罗纹-260G（阻燃）</v>
          </cell>
          <cell r="F21" t="str">
            <v>是</v>
          </cell>
          <cell r="G21" t="str">
            <v>红色</v>
          </cell>
        </row>
        <row r="22">
          <cell r="D22" t="str">
            <v>M0076980</v>
          </cell>
          <cell r="E22" t="str">
            <v>涤1*1拉架罗纹-260G（阻燃）</v>
          </cell>
          <cell r="F22" t="str">
            <v>是</v>
          </cell>
          <cell r="G22" t="str">
            <v>绿色</v>
          </cell>
        </row>
        <row r="23">
          <cell r="D23" t="str">
            <v>M00y221001040259</v>
          </cell>
          <cell r="E23" t="str">
            <v>仿棉拉架平纹-200G</v>
          </cell>
          <cell r="F23" t="str">
            <v>是</v>
          </cell>
          <cell r="G23" t="str">
            <v>黑色</v>
          </cell>
        </row>
        <row r="24">
          <cell r="D24" t="str">
            <v>M0004000</v>
          </cell>
          <cell r="E24" t="str">
            <v>200G仿棉拉架平纹（印花底布专用）</v>
          </cell>
          <cell r="F24" t="str">
            <v>是</v>
          </cell>
          <cell r="G24" t="str">
            <v>本白色</v>
          </cell>
        </row>
        <row r="25">
          <cell r="D25" t="str">
            <v>M00y22100104015</v>
          </cell>
          <cell r="E25" t="str">
            <v>仿棉拉架平纹-200G</v>
          </cell>
          <cell r="F25" t="str">
            <v>是</v>
          </cell>
          <cell r="G25" t="str">
            <v>大红</v>
          </cell>
        </row>
        <row r="26">
          <cell r="D26" t="str">
            <v>M0004000</v>
          </cell>
          <cell r="E26" t="str">
            <v>200G仿棉拉架平纹（印花底布专用）</v>
          </cell>
          <cell r="F26" t="str">
            <v>是</v>
          </cell>
          <cell r="G26" t="str">
            <v>本白色</v>
          </cell>
        </row>
        <row r="27">
          <cell r="D27" t="str">
            <v>M00y221001040259</v>
          </cell>
          <cell r="E27" t="str">
            <v>仿棉拉架平纹-200G</v>
          </cell>
          <cell r="F27" t="str">
            <v>是</v>
          </cell>
          <cell r="G27" t="str">
            <v>黑色</v>
          </cell>
        </row>
        <row r="28">
          <cell r="D28" t="str">
            <v>M00y221001040193</v>
          </cell>
          <cell r="E28" t="str">
            <v>仿棉拉架平纹-200G</v>
          </cell>
          <cell r="F28" t="str">
            <v>是</v>
          </cell>
          <cell r="G28" t="str">
            <v>绿</v>
          </cell>
        </row>
        <row r="29">
          <cell r="D29" t="str">
            <v>M00y221001040235</v>
          </cell>
          <cell r="E29" t="str">
            <v>仿棉拉架平纹-200G</v>
          </cell>
          <cell r="F29" t="str">
            <v>是</v>
          </cell>
          <cell r="G29" t="str">
            <v>墨蓝</v>
          </cell>
        </row>
        <row r="30">
          <cell r="D30" t="str">
            <v>M00y22100104018</v>
          </cell>
          <cell r="E30" t="str">
            <v>仿棉拉架平纹-200G</v>
          </cell>
          <cell r="F30" t="str">
            <v>是</v>
          </cell>
          <cell r="G30" t="str">
            <v>酒红</v>
          </cell>
        </row>
        <row r="31">
          <cell r="D31" t="str">
            <v>M00y22100104015</v>
          </cell>
          <cell r="E31" t="str">
            <v>仿棉拉架平纹-200G</v>
          </cell>
          <cell r="F31" t="str">
            <v>是</v>
          </cell>
          <cell r="G31" t="str">
            <v>大红</v>
          </cell>
        </row>
        <row r="32">
          <cell r="D32" t="str">
            <v>M0004000</v>
          </cell>
          <cell r="E32" t="str">
            <v>200G仿棉拉架平纹（印花底布专用）</v>
          </cell>
          <cell r="F32" t="str">
            <v>是</v>
          </cell>
          <cell r="G32" t="str">
            <v>本白色</v>
          </cell>
        </row>
        <row r="33">
          <cell r="D33" t="str">
            <v>M00y221001040193</v>
          </cell>
          <cell r="E33" t="str">
            <v>仿棉拉架平纹-200G</v>
          </cell>
          <cell r="F33" t="str">
            <v>是</v>
          </cell>
          <cell r="G33" t="str">
            <v>绿</v>
          </cell>
        </row>
        <row r="34">
          <cell r="D34" t="str">
            <v>M0071187</v>
          </cell>
          <cell r="E34" t="str">
            <v>涤拉架卫衣-300G（印花底布）</v>
          </cell>
          <cell r="F34" t="str">
            <v>是</v>
          </cell>
          <cell r="G34" t="str">
            <v>白色</v>
          </cell>
        </row>
        <row r="35">
          <cell r="D35" t="str">
            <v>M0071187</v>
          </cell>
          <cell r="E35" t="str">
            <v>涤拉架卫衣-300G（印花底布）</v>
          </cell>
          <cell r="F35" t="str">
            <v>是</v>
          </cell>
          <cell r="G35" t="str">
            <v>白色</v>
          </cell>
        </row>
        <row r="36">
          <cell r="D36" t="str">
            <v>M0076982</v>
          </cell>
          <cell r="E36" t="str">
            <v>涤1*1拉架罗纹-260G（阻燃）</v>
          </cell>
          <cell r="F36" t="str">
            <v>是</v>
          </cell>
          <cell r="G36" t="str">
            <v>红色</v>
          </cell>
        </row>
        <row r="37">
          <cell r="D37" t="str">
            <v>M0071187</v>
          </cell>
          <cell r="E37" t="str">
            <v>涤拉架卫衣-300G（印花底布）</v>
          </cell>
          <cell r="F37" t="str">
            <v>是</v>
          </cell>
          <cell r="G37" t="str">
            <v>白色</v>
          </cell>
        </row>
        <row r="38">
          <cell r="D38" t="str">
            <v>M0071187</v>
          </cell>
          <cell r="E38" t="str">
            <v>涤拉架卫衣-300G（印花底布）</v>
          </cell>
          <cell r="F38" t="str">
            <v>是</v>
          </cell>
          <cell r="G38" t="str">
            <v>白色</v>
          </cell>
        </row>
        <row r="39">
          <cell r="D39" t="str">
            <v>M0071187</v>
          </cell>
          <cell r="E39" t="str">
            <v>涤拉架卫衣-300G（印花底布）</v>
          </cell>
          <cell r="F39" t="str">
            <v>是</v>
          </cell>
          <cell r="G39" t="str">
            <v>白色</v>
          </cell>
        </row>
        <row r="40">
          <cell r="D40" t="str">
            <v>M0071187</v>
          </cell>
          <cell r="E40" t="str">
            <v>涤拉架卫衣-300G（印花底布）</v>
          </cell>
          <cell r="F40" t="str">
            <v>是</v>
          </cell>
          <cell r="G40" t="str">
            <v>白色</v>
          </cell>
        </row>
        <row r="41">
          <cell r="D41" t="str">
            <v>M0076982</v>
          </cell>
          <cell r="E41" t="str">
            <v>涤1*1拉架罗纹-260G（阻燃）</v>
          </cell>
          <cell r="F41" t="str">
            <v>是</v>
          </cell>
          <cell r="G41" t="str">
            <v>红色</v>
          </cell>
        </row>
        <row r="42">
          <cell r="D42" t="str">
            <v>M0076982</v>
          </cell>
          <cell r="E42" t="str">
            <v>涤1*1拉架罗纹-260G（阻燃）</v>
          </cell>
          <cell r="F42" t="str">
            <v>是</v>
          </cell>
          <cell r="G42" t="str">
            <v>红色</v>
          </cell>
        </row>
        <row r="43">
          <cell r="D43" t="str">
            <v>M00y22100104018</v>
          </cell>
          <cell r="E43" t="str">
            <v>仿棉拉架平纹-200G</v>
          </cell>
          <cell r="F43" t="str">
            <v>是</v>
          </cell>
          <cell r="G43" t="str">
            <v>酒红</v>
          </cell>
        </row>
        <row r="44">
          <cell r="D44" t="str">
            <v>M00y221001040235</v>
          </cell>
          <cell r="E44" t="str">
            <v>仿棉拉架平纹-200G</v>
          </cell>
          <cell r="F44" t="str">
            <v>是</v>
          </cell>
          <cell r="G44" t="str">
            <v>墨蓝</v>
          </cell>
        </row>
        <row r="45">
          <cell r="D45" t="str">
            <v>M0037840</v>
          </cell>
          <cell r="E45" t="str">
            <v>双磨牛奶丝-220G（印花底布）</v>
          </cell>
          <cell r="F45" t="str">
            <v>是</v>
          </cell>
          <cell r="G45" t="str">
            <v>白色</v>
          </cell>
        </row>
        <row r="46">
          <cell r="D46" t="str">
            <v>M0049431</v>
          </cell>
          <cell r="E46" t="str">
            <v>仿棉拉架平纹-180G</v>
          </cell>
          <cell r="F46" t="str">
            <v>是</v>
          </cell>
          <cell r="G46" t="str">
            <v>浅蓝</v>
          </cell>
        </row>
        <row r="47">
          <cell r="D47" t="str">
            <v>M0076968</v>
          </cell>
          <cell r="E47" t="str">
            <v>涤1*1拉架罗纹-260G（阻燃）</v>
          </cell>
          <cell r="F47" t="str">
            <v>是</v>
          </cell>
          <cell r="G47" t="str">
            <v>卡其色</v>
          </cell>
        </row>
        <row r="48">
          <cell r="D48" t="str">
            <v>M0017464</v>
          </cell>
          <cell r="E48" t="str">
            <v>仿棉拉架平纹-200G（阻燃）</v>
          </cell>
          <cell r="F48" t="str">
            <v>是</v>
          </cell>
          <cell r="G48" t="str">
            <v>卡其色</v>
          </cell>
        </row>
        <row r="49">
          <cell r="D49" t="str">
            <v>M0018251</v>
          </cell>
          <cell r="E49" t="str">
            <v>仿棉拉架平纹-200G</v>
          </cell>
          <cell r="F49" t="str">
            <v>是</v>
          </cell>
          <cell r="G49" t="str">
            <v>卡其色</v>
          </cell>
        </row>
        <row r="50">
          <cell r="D50" t="str">
            <v>M0076983</v>
          </cell>
          <cell r="E50" t="str">
            <v>涤1*1拉架罗纹-260G（阻燃）</v>
          </cell>
          <cell r="F50" t="str">
            <v>是</v>
          </cell>
          <cell r="G50" t="str">
            <v>黑色</v>
          </cell>
        </row>
        <row r="51">
          <cell r="D51" t="str">
            <v>M0076982</v>
          </cell>
          <cell r="E51" t="str">
            <v>涤1*1拉架罗纹-260G（阻燃）</v>
          </cell>
          <cell r="F51" t="str">
            <v>是</v>
          </cell>
          <cell r="G51" t="str">
            <v>红色</v>
          </cell>
        </row>
        <row r="52">
          <cell r="D52" t="str">
            <v>M00y22100104015</v>
          </cell>
          <cell r="E52" t="str">
            <v>仿棉拉架平纹-200G</v>
          </cell>
          <cell r="F52" t="str">
            <v>是</v>
          </cell>
          <cell r="G52" t="str">
            <v>大红</v>
          </cell>
        </row>
        <row r="53">
          <cell r="D53" t="str">
            <v>M0076981</v>
          </cell>
          <cell r="E53" t="str">
            <v>涤1*1拉架罗纹-260G（阻燃）</v>
          </cell>
          <cell r="F53" t="str">
            <v>是</v>
          </cell>
          <cell r="G53" t="str">
            <v>深蓝色</v>
          </cell>
        </row>
        <row r="54">
          <cell r="D54" t="str">
            <v>M0076982</v>
          </cell>
          <cell r="E54" t="str">
            <v>涤1*1拉架罗纹-260G（阻燃）</v>
          </cell>
          <cell r="F54" t="str">
            <v>是</v>
          </cell>
          <cell r="G54" t="str">
            <v>红色</v>
          </cell>
        </row>
        <row r="55">
          <cell r="D55" t="str">
            <v>M0016454</v>
          </cell>
          <cell r="E55" t="str">
            <v>仿棉拉架平纹-200G（阻燃）</v>
          </cell>
          <cell r="F55" t="str">
            <v>是</v>
          </cell>
          <cell r="G55" t="str">
            <v>黑色</v>
          </cell>
        </row>
        <row r="56">
          <cell r="D56" t="str">
            <v>M00y221001040259</v>
          </cell>
          <cell r="E56" t="str">
            <v>仿棉拉架平纹-200G</v>
          </cell>
          <cell r="F56" t="str">
            <v>是</v>
          </cell>
          <cell r="G56" t="str">
            <v>黑色</v>
          </cell>
        </row>
        <row r="57">
          <cell r="D57" t="str">
            <v>M00xt21001040171</v>
          </cell>
          <cell r="E57" t="str">
            <v>仿棉拉架平纹-200G（阻燃）</v>
          </cell>
          <cell r="F57" t="str">
            <v>是</v>
          </cell>
          <cell r="G57" t="str">
            <v>宝蓝色</v>
          </cell>
        </row>
        <row r="58">
          <cell r="D58" t="str">
            <v>M0071187</v>
          </cell>
          <cell r="E58" t="str">
            <v>涤拉架卫衣-300G（印花底布）</v>
          </cell>
          <cell r="F58" t="str">
            <v>是</v>
          </cell>
          <cell r="G58" t="str">
            <v>白色</v>
          </cell>
        </row>
        <row r="59">
          <cell r="D59" t="str">
            <v>M0040010</v>
          </cell>
          <cell r="E59" t="str">
            <v>涤拉架卫衣-250G(印花底布）</v>
          </cell>
          <cell r="F59" t="str">
            <v>是</v>
          </cell>
          <cell r="G59" t="str">
            <v>白色</v>
          </cell>
        </row>
        <row r="60">
          <cell r="D60" t="str">
            <v>M0071187</v>
          </cell>
          <cell r="E60" t="str">
            <v>涤拉架卫衣-300G（印花底布）</v>
          </cell>
          <cell r="F60" t="str">
            <v>是</v>
          </cell>
          <cell r="G60" t="str">
            <v>白色</v>
          </cell>
        </row>
        <row r="61">
          <cell r="D61" t="str">
            <v>M0076981</v>
          </cell>
          <cell r="E61" t="str">
            <v>涤1*1拉架罗纹-260G（阻燃）</v>
          </cell>
          <cell r="F61" t="str">
            <v>是</v>
          </cell>
          <cell r="G61" t="str">
            <v>深蓝色</v>
          </cell>
        </row>
        <row r="62">
          <cell r="D62" t="str">
            <v>M00xt21001040171</v>
          </cell>
          <cell r="E62" t="str">
            <v>仿棉拉架平纹-200G（阻燃）</v>
          </cell>
          <cell r="F62" t="str">
            <v>是</v>
          </cell>
          <cell r="G62" t="str">
            <v>宝蓝色</v>
          </cell>
        </row>
        <row r="63">
          <cell r="D63" t="str">
            <v>M0076982</v>
          </cell>
          <cell r="E63" t="str">
            <v>涤1*1拉架罗纹-260G（阻燃）</v>
          </cell>
          <cell r="F63" t="str">
            <v>是</v>
          </cell>
          <cell r="G63" t="str">
            <v>红色</v>
          </cell>
        </row>
        <row r="64">
          <cell r="D64" t="str">
            <v>M0071187</v>
          </cell>
          <cell r="E64" t="str">
            <v>涤拉架卫衣-300G（印花底布）</v>
          </cell>
          <cell r="F64" t="str">
            <v>是</v>
          </cell>
          <cell r="G64" t="str">
            <v>白色</v>
          </cell>
        </row>
        <row r="65">
          <cell r="D65" t="str">
            <v>M0099126</v>
          </cell>
          <cell r="E65" t="str">
            <v>全涤卫衣（无拉架）-250G</v>
          </cell>
          <cell r="F65" t="str">
            <v>否</v>
          </cell>
          <cell r="G65" t="str">
            <v>紫色</v>
          </cell>
        </row>
        <row r="66">
          <cell r="D66" t="str">
            <v>M0004000</v>
          </cell>
          <cell r="E66" t="str">
            <v>200G仿棉拉架平纹（印花底布专用）</v>
          </cell>
          <cell r="F66" t="str">
            <v>是</v>
          </cell>
          <cell r="G66" t="str">
            <v>本白色</v>
          </cell>
        </row>
        <row r="67">
          <cell r="D67" t="str">
            <v>M0076982</v>
          </cell>
          <cell r="E67" t="str">
            <v>涤1*1拉架罗纹-260G（阻燃）</v>
          </cell>
          <cell r="F67" t="str">
            <v>是</v>
          </cell>
          <cell r="G67" t="str">
            <v>红色</v>
          </cell>
        </row>
        <row r="68">
          <cell r="D68" t="str">
            <v>M0037840</v>
          </cell>
          <cell r="E68" t="str">
            <v>双磨牛奶丝-220G（印花底布）</v>
          </cell>
          <cell r="F68" t="str">
            <v>是</v>
          </cell>
          <cell r="G68" t="str">
            <v>白色</v>
          </cell>
        </row>
        <row r="69">
          <cell r="D69" t="str">
            <v>M0078810</v>
          </cell>
          <cell r="E69" t="str">
            <v>涤1*1拉架罗纹-260G（阻燃）</v>
          </cell>
          <cell r="F69" t="str">
            <v>是</v>
          </cell>
          <cell r="G69" t="str">
            <v>深绿</v>
          </cell>
        </row>
        <row r="70">
          <cell r="D70" t="str">
            <v>M0076982</v>
          </cell>
          <cell r="E70" t="str">
            <v>涤1*1拉架罗纹-260G（阻燃）</v>
          </cell>
          <cell r="F70" t="str">
            <v>是</v>
          </cell>
          <cell r="G70" t="str">
            <v>红色</v>
          </cell>
        </row>
        <row r="71">
          <cell r="D71" t="str">
            <v>M0076982</v>
          </cell>
          <cell r="E71" t="str">
            <v>涤1*1拉架罗纹-260G（阻燃）</v>
          </cell>
          <cell r="F71" t="str">
            <v>是</v>
          </cell>
          <cell r="G71" t="str">
            <v>红色</v>
          </cell>
        </row>
        <row r="72">
          <cell r="D72" t="str">
            <v>M0076982</v>
          </cell>
          <cell r="E72" t="str">
            <v>涤1*1拉架罗纹-260G（阻燃）</v>
          </cell>
          <cell r="F72" t="str">
            <v>是</v>
          </cell>
          <cell r="G72" t="str">
            <v>红色</v>
          </cell>
        </row>
        <row r="73">
          <cell r="D73" t="str">
            <v>M0076983</v>
          </cell>
          <cell r="E73" t="str">
            <v>涤1*1拉架罗纹-260G（阻燃）</v>
          </cell>
          <cell r="F73" t="str">
            <v>是</v>
          </cell>
          <cell r="G73" t="str">
            <v>黑色</v>
          </cell>
        </row>
        <row r="74">
          <cell r="D74" t="str">
            <v>M0076982</v>
          </cell>
          <cell r="E74" t="str">
            <v>涤1*1拉架罗纹-260G（阻燃）</v>
          </cell>
          <cell r="F74" t="str">
            <v>是</v>
          </cell>
          <cell r="G74" t="str">
            <v>红色</v>
          </cell>
        </row>
        <row r="75">
          <cell r="D75" t="str">
            <v>M0037840</v>
          </cell>
          <cell r="E75" t="str">
            <v>双磨牛奶丝-220G（印花底布）</v>
          </cell>
          <cell r="F75" t="str">
            <v>是</v>
          </cell>
          <cell r="G75" t="str">
            <v>白色</v>
          </cell>
        </row>
        <row r="76">
          <cell r="D76" t="str">
            <v>M0024354</v>
          </cell>
          <cell r="E76" t="str">
            <v>双磨牛奶丝-200G（印花底布）</v>
          </cell>
          <cell r="F76" t="str">
            <v>是</v>
          </cell>
          <cell r="G76" t="str">
            <v>本白色</v>
          </cell>
        </row>
        <row r="77">
          <cell r="D77" t="str">
            <v>M0076982</v>
          </cell>
          <cell r="E77" t="str">
            <v>涤1*1拉架罗纹-260G（阻燃）</v>
          </cell>
          <cell r="F77" t="str">
            <v>是</v>
          </cell>
          <cell r="G77" t="str">
            <v>红色</v>
          </cell>
        </row>
        <row r="78">
          <cell r="D78" t="str">
            <v>M0076982</v>
          </cell>
          <cell r="E78" t="str">
            <v>涤1*1拉架罗纹-260G（阻燃）</v>
          </cell>
          <cell r="F78" t="str">
            <v>是</v>
          </cell>
          <cell r="G78" t="str">
            <v>红色</v>
          </cell>
        </row>
        <row r="79">
          <cell r="D79" t="str">
            <v>M0076982</v>
          </cell>
          <cell r="E79" t="str">
            <v>涤1*1拉架罗纹-260G（阻燃）</v>
          </cell>
          <cell r="F79" t="str">
            <v>是</v>
          </cell>
          <cell r="G79" t="str">
            <v>红色</v>
          </cell>
        </row>
        <row r="80">
          <cell r="D80" t="str">
            <v>M0076982</v>
          </cell>
          <cell r="E80" t="str">
            <v>涤1*1拉架罗纹-260G（阻燃）</v>
          </cell>
          <cell r="F80" t="str">
            <v>是</v>
          </cell>
          <cell r="G80" t="str">
            <v>红色</v>
          </cell>
        </row>
        <row r="81">
          <cell r="D81" t="str">
            <v>M0076982</v>
          </cell>
          <cell r="E81" t="str">
            <v>涤1*1拉架罗纹-260G（阻燃）</v>
          </cell>
          <cell r="F81" t="str">
            <v>是</v>
          </cell>
          <cell r="G81" t="str">
            <v>红色</v>
          </cell>
        </row>
        <row r="82">
          <cell r="D82" t="str">
            <v>M0076982</v>
          </cell>
          <cell r="E82" t="str">
            <v>涤1*1拉架罗纹-260G（阻燃）</v>
          </cell>
          <cell r="F82" t="str">
            <v>是</v>
          </cell>
          <cell r="G82" t="str">
            <v>红色</v>
          </cell>
        </row>
        <row r="83">
          <cell r="D83" t="str">
            <v>M0078810</v>
          </cell>
          <cell r="E83" t="str">
            <v>涤1*1拉架罗纹-260G（阻燃）</v>
          </cell>
          <cell r="F83" t="str">
            <v>是</v>
          </cell>
          <cell r="G83" t="str">
            <v>深绿</v>
          </cell>
        </row>
        <row r="84">
          <cell r="D84" t="str">
            <v>M0076980</v>
          </cell>
          <cell r="E84" t="str">
            <v>涤1*1拉架罗纹-260G（阻燃）</v>
          </cell>
          <cell r="F84" t="str">
            <v>是</v>
          </cell>
          <cell r="G84" t="str">
            <v>绿色</v>
          </cell>
        </row>
        <row r="85">
          <cell r="D85" t="str">
            <v>M0076982</v>
          </cell>
          <cell r="E85" t="str">
            <v>涤1*1拉架罗纹-260G（阻燃）</v>
          </cell>
          <cell r="F85" t="str">
            <v>是</v>
          </cell>
          <cell r="G85" t="str">
            <v>红色</v>
          </cell>
        </row>
        <row r="86">
          <cell r="D86" t="str">
            <v>M0076982</v>
          </cell>
          <cell r="E86" t="str">
            <v>涤1*1拉架罗纹-260G（阻燃）</v>
          </cell>
          <cell r="F86" t="str">
            <v>是</v>
          </cell>
          <cell r="G86" t="str">
            <v>红色</v>
          </cell>
        </row>
        <row r="87">
          <cell r="D87" t="str">
            <v>M0076982</v>
          </cell>
          <cell r="E87" t="str">
            <v>涤1*1拉架罗纹-260G（阻燃）</v>
          </cell>
          <cell r="F87" t="str">
            <v>是</v>
          </cell>
          <cell r="G87" t="str">
            <v>红色</v>
          </cell>
        </row>
        <row r="88">
          <cell r="D88" t="str">
            <v>M0076982</v>
          </cell>
          <cell r="E88" t="str">
            <v>涤1*1拉架罗纹-260G（阻燃）</v>
          </cell>
          <cell r="F88" t="str">
            <v>是</v>
          </cell>
          <cell r="G88" t="str">
            <v>红色</v>
          </cell>
        </row>
        <row r="89">
          <cell r="D89" t="str">
            <v>M0076981</v>
          </cell>
          <cell r="E89" t="str">
            <v>涤1*1拉架罗纹-260G（阻燃）</v>
          </cell>
          <cell r="F89" t="str">
            <v>是</v>
          </cell>
          <cell r="G89" t="str">
            <v>深蓝色</v>
          </cell>
        </row>
        <row r="90">
          <cell r="D90" t="str">
            <v>M0076982</v>
          </cell>
          <cell r="E90" t="str">
            <v>涤1*1拉架罗纹-260G（阻燃）</v>
          </cell>
          <cell r="F90" t="str">
            <v>是</v>
          </cell>
          <cell r="G90" t="str">
            <v>红色</v>
          </cell>
        </row>
        <row r="91">
          <cell r="D91" t="str">
            <v>M0076982</v>
          </cell>
          <cell r="E91" t="str">
            <v>涤1*1拉架罗纹-260G（阻燃）</v>
          </cell>
          <cell r="F91" t="str">
            <v>是</v>
          </cell>
          <cell r="G91" t="str">
            <v>红色</v>
          </cell>
        </row>
        <row r="92">
          <cell r="D92" t="str">
            <v>M0076982</v>
          </cell>
          <cell r="E92" t="str">
            <v>涤1*1拉架罗纹-260G（阻燃）</v>
          </cell>
          <cell r="F92" t="str">
            <v>是</v>
          </cell>
          <cell r="G92" t="str">
            <v>红色</v>
          </cell>
        </row>
        <row r="93">
          <cell r="D93" t="str">
            <v>M0076982</v>
          </cell>
          <cell r="E93" t="str">
            <v>涤1*1拉架罗纹-260G（阻燃）</v>
          </cell>
          <cell r="F93" t="str">
            <v>是</v>
          </cell>
          <cell r="G93" t="str">
            <v>红色</v>
          </cell>
        </row>
        <row r="94">
          <cell r="D94" t="str">
            <v>M0076982</v>
          </cell>
          <cell r="E94" t="str">
            <v>涤1*1拉架罗纹-260G（阻燃）</v>
          </cell>
          <cell r="F94" t="str">
            <v>是</v>
          </cell>
          <cell r="G94" t="str">
            <v>红色</v>
          </cell>
        </row>
        <row r="95">
          <cell r="D95" t="str">
            <v>M0076982</v>
          </cell>
          <cell r="E95" t="str">
            <v>涤1*1拉架罗纹-260G（阻燃）</v>
          </cell>
          <cell r="F95" t="str">
            <v>是</v>
          </cell>
          <cell r="G95" t="str">
            <v>红色</v>
          </cell>
        </row>
        <row r="96">
          <cell r="D96" t="str">
            <v>M0075405</v>
          </cell>
          <cell r="E96" t="str">
            <v>涤1*1拉架罗纹-260G（阻燃）</v>
          </cell>
          <cell r="F96" t="str">
            <v>是</v>
          </cell>
          <cell r="G96" t="str">
            <v>白色</v>
          </cell>
        </row>
        <row r="97">
          <cell r="D97" t="str">
            <v>M0076982</v>
          </cell>
          <cell r="E97" t="str">
            <v>涤1*1拉架罗纹-260G（阻燃）</v>
          </cell>
          <cell r="F97" t="str">
            <v>是</v>
          </cell>
          <cell r="G97" t="str">
            <v>红色</v>
          </cell>
        </row>
        <row r="98">
          <cell r="D98" t="str">
            <v>M0076982</v>
          </cell>
          <cell r="E98" t="str">
            <v>涤1*1拉架罗纹-260G（阻燃）</v>
          </cell>
          <cell r="F98" t="str">
            <v>是</v>
          </cell>
          <cell r="G98" t="str">
            <v>红色</v>
          </cell>
        </row>
        <row r="99">
          <cell r="D99" t="str">
            <v>M0076982</v>
          </cell>
          <cell r="E99" t="str">
            <v>涤1*1拉架罗纹-260G（阻燃）</v>
          </cell>
          <cell r="F99" t="str">
            <v>是</v>
          </cell>
          <cell r="G99" t="str">
            <v>红色</v>
          </cell>
        </row>
        <row r="100">
          <cell r="D100" t="str">
            <v>M0076982</v>
          </cell>
          <cell r="E100" t="str">
            <v>涤1*1拉架罗纹-260G（阻燃）</v>
          </cell>
          <cell r="F100" t="str">
            <v>是</v>
          </cell>
          <cell r="G100" t="str">
            <v>红色</v>
          </cell>
        </row>
        <row r="101">
          <cell r="D101" t="str">
            <v>M0076982</v>
          </cell>
          <cell r="E101" t="str">
            <v>涤1*1拉架罗纹-260G（阻燃）</v>
          </cell>
          <cell r="F101" t="str">
            <v>是</v>
          </cell>
          <cell r="G101" t="str">
            <v>红色</v>
          </cell>
        </row>
        <row r="102">
          <cell r="D102" t="str">
            <v>M0076968</v>
          </cell>
          <cell r="E102" t="str">
            <v>涤1*1拉架罗纹-260G（阻燃）</v>
          </cell>
          <cell r="F102" t="str">
            <v>是</v>
          </cell>
          <cell r="G102" t="str">
            <v>卡其色</v>
          </cell>
        </row>
        <row r="103">
          <cell r="D103" t="str">
            <v>M0075405</v>
          </cell>
          <cell r="E103" t="str">
            <v>涤1*1拉架罗纹-260G（阻燃）</v>
          </cell>
          <cell r="F103" t="str">
            <v>是</v>
          </cell>
          <cell r="G103" t="str">
            <v>白色</v>
          </cell>
        </row>
        <row r="104">
          <cell r="D104" t="str">
            <v>M0076982</v>
          </cell>
          <cell r="E104" t="str">
            <v>涤1*1拉架罗纹-260G（阻燃）</v>
          </cell>
          <cell r="F104" t="str">
            <v>是</v>
          </cell>
          <cell r="G104" t="str">
            <v>红色</v>
          </cell>
        </row>
        <row r="105">
          <cell r="D105" t="str">
            <v>M0076981</v>
          </cell>
          <cell r="E105" t="str">
            <v>涤1*1拉架罗纹-260G（阻燃）</v>
          </cell>
          <cell r="F105" t="str">
            <v>是</v>
          </cell>
          <cell r="G105" t="str">
            <v>深蓝色</v>
          </cell>
        </row>
        <row r="106">
          <cell r="D106" t="str">
            <v>M0076968</v>
          </cell>
          <cell r="E106" t="str">
            <v>涤1*1拉架罗纹-260G（阻燃）</v>
          </cell>
          <cell r="F106" t="str">
            <v>是</v>
          </cell>
          <cell r="G106" t="str">
            <v>卡其色</v>
          </cell>
        </row>
        <row r="107">
          <cell r="D107" t="str">
            <v>M0076982</v>
          </cell>
          <cell r="E107" t="str">
            <v>涤1*1拉架罗纹-260G（阻燃）</v>
          </cell>
          <cell r="F107" t="str">
            <v>是</v>
          </cell>
          <cell r="G107" t="str">
            <v>红色</v>
          </cell>
        </row>
        <row r="108">
          <cell r="D108" t="str">
            <v>M0078810</v>
          </cell>
          <cell r="E108" t="str">
            <v>涤1*1拉架罗纹-260G（阻燃）</v>
          </cell>
          <cell r="F108" t="str">
            <v>是</v>
          </cell>
          <cell r="G108" t="str">
            <v>深绿</v>
          </cell>
        </row>
        <row r="109">
          <cell r="D109" t="str">
            <v>M0076982</v>
          </cell>
          <cell r="E109" t="str">
            <v>涤1*1拉架罗纹-260G（阻燃）</v>
          </cell>
          <cell r="F109" t="str">
            <v>是</v>
          </cell>
          <cell r="G109" t="str">
            <v>红色</v>
          </cell>
        </row>
        <row r="110">
          <cell r="D110" t="str">
            <v>M0076982</v>
          </cell>
          <cell r="E110" t="str">
            <v>涤1*1拉架罗纹-260G（阻燃）</v>
          </cell>
          <cell r="F110" t="str">
            <v>是</v>
          </cell>
          <cell r="G110" t="str">
            <v>红色</v>
          </cell>
        </row>
        <row r="111">
          <cell r="D111" t="str">
            <v>M0076982</v>
          </cell>
          <cell r="E111" t="str">
            <v>涤1*1拉架罗纹-260G（阻燃）</v>
          </cell>
          <cell r="F111" t="str">
            <v>是</v>
          </cell>
          <cell r="G111" t="str">
            <v>红色</v>
          </cell>
        </row>
        <row r="112">
          <cell r="D112" t="str">
            <v>M0076982</v>
          </cell>
          <cell r="E112" t="str">
            <v>涤1*1拉架罗纹-260G（阻燃）</v>
          </cell>
          <cell r="F112" t="str">
            <v>是</v>
          </cell>
          <cell r="G112" t="str">
            <v>红色</v>
          </cell>
        </row>
        <row r="113">
          <cell r="D113" t="str">
            <v>M0076983</v>
          </cell>
          <cell r="E113" t="str">
            <v>涤1*1拉架罗纹-260G（阻燃）</v>
          </cell>
          <cell r="F113" t="str">
            <v>是</v>
          </cell>
          <cell r="G113" t="str">
            <v>黑色</v>
          </cell>
        </row>
        <row r="114">
          <cell r="D114" t="str">
            <v>M0076983</v>
          </cell>
          <cell r="E114" t="str">
            <v>涤1*1拉架罗纹-260G（阻燃）</v>
          </cell>
          <cell r="F114" t="str">
            <v>是</v>
          </cell>
          <cell r="G114" t="str">
            <v>黑色</v>
          </cell>
        </row>
        <row r="115">
          <cell r="D115" t="str">
            <v>M0076981</v>
          </cell>
          <cell r="E115" t="str">
            <v>涤1*1拉架罗纹-260G（阻燃）</v>
          </cell>
          <cell r="F115" t="str">
            <v>是</v>
          </cell>
          <cell r="G115" t="str">
            <v>深蓝色</v>
          </cell>
        </row>
        <row r="116">
          <cell r="D116" t="str">
            <v>M0076982</v>
          </cell>
          <cell r="E116" t="str">
            <v>涤1*1拉架罗纹-260G（阻燃）</v>
          </cell>
          <cell r="F116" t="str">
            <v>是</v>
          </cell>
          <cell r="G116" t="str">
            <v>红色</v>
          </cell>
        </row>
        <row r="117">
          <cell r="D117" t="str">
            <v>M0076983</v>
          </cell>
          <cell r="E117" t="str">
            <v>涤1*1拉架罗纹-260G（阻燃）</v>
          </cell>
          <cell r="F117" t="str">
            <v>是</v>
          </cell>
          <cell r="G117" t="str">
            <v>黑色</v>
          </cell>
        </row>
        <row r="118">
          <cell r="D118" t="str">
            <v>M0076983</v>
          </cell>
          <cell r="E118" t="str">
            <v>涤1*1拉架罗纹-260G（阻燃）</v>
          </cell>
          <cell r="F118" t="str">
            <v>是</v>
          </cell>
          <cell r="G118" t="str">
            <v>黑色</v>
          </cell>
        </row>
        <row r="119">
          <cell r="D119" t="str">
            <v>M00y221001040259</v>
          </cell>
          <cell r="E119" t="str">
            <v>仿棉拉架平纹-200G</v>
          </cell>
          <cell r="F119" t="str">
            <v>是</v>
          </cell>
          <cell r="G119" t="str">
            <v>黑色</v>
          </cell>
        </row>
        <row r="120">
          <cell r="D120" t="str">
            <v>M00y22100104018</v>
          </cell>
          <cell r="E120" t="str">
            <v>仿棉拉架平纹-200G</v>
          </cell>
          <cell r="F120" t="str">
            <v>是</v>
          </cell>
          <cell r="G120" t="str">
            <v>酒红</v>
          </cell>
        </row>
        <row r="121">
          <cell r="D121" t="str">
            <v>M0018251</v>
          </cell>
          <cell r="E121" t="str">
            <v>仿棉拉架平纹-200G</v>
          </cell>
          <cell r="F121" t="str">
            <v>是</v>
          </cell>
          <cell r="G121" t="str">
            <v>卡其色</v>
          </cell>
        </row>
        <row r="122">
          <cell r="D122" t="str">
            <v>M0004000</v>
          </cell>
          <cell r="E122" t="str">
            <v>200G仿棉拉架平纹（印花底布专用）</v>
          </cell>
          <cell r="F122" t="str">
            <v>是</v>
          </cell>
          <cell r="G122" t="str">
            <v>本白色</v>
          </cell>
        </row>
        <row r="123">
          <cell r="D123" t="str">
            <v>M0018251</v>
          </cell>
          <cell r="E123" t="str">
            <v>仿棉拉架平纹-200G</v>
          </cell>
          <cell r="F123" t="str">
            <v>是</v>
          </cell>
          <cell r="G123" t="str">
            <v>卡其色</v>
          </cell>
        </row>
        <row r="124">
          <cell r="D124" t="str">
            <v>M00y22100104015</v>
          </cell>
          <cell r="E124" t="str">
            <v>仿棉拉架平纹-200G</v>
          </cell>
          <cell r="F124" t="str">
            <v>是</v>
          </cell>
          <cell r="G124" t="str">
            <v>大红</v>
          </cell>
        </row>
        <row r="125">
          <cell r="D125" t="str">
            <v>M00y22100104015</v>
          </cell>
          <cell r="E125" t="str">
            <v>仿棉拉架平纹-200G</v>
          </cell>
          <cell r="F125" t="str">
            <v>是</v>
          </cell>
          <cell r="G125" t="str">
            <v>大红</v>
          </cell>
        </row>
        <row r="126">
          <cell r="D126" t="str">
            <v>M0004000</v>
          </cell>
          <cell r="E126" t="str">
            <v>200G仿棉拉架平纹（印花底布专用）</v>
          </cell>
          <cell r="F126" t="str">
            <v>是</v>
          </cell>
          <cell r="G126" t="str">
            <v>本白色</v>
          </cell>
        </row>
        <row r="127">
          <cell r="D127" t="str">
            <v>M0004000</v>
          </cell>
          <cell r="E127" t="str">
            <v>200G仿棉拉架平纹（印花底布专用）</v>
          </cell>
          <cell r="F127" t="str">
            <v>是</v>
          </cell>
          <cell r="G127" t="str">
            <v>本白色</v>
          </cell>
        </row>
        <row r="128">
          <cell r="D128" t="str">
            <v>M0004000</v>
          </cell>
          <cell r="E128" t="str">
            <v>200G仿棉拉架平纹（印花底布专用）</v>
          </cell>
          <cell r="F128" t="str">
            <v>是</v>
          </cell>
          <cell r="G128" t="str">
            <v>本白色</v>
          </cell>
        </row>
        <row r="129">
          <cell r="D129" t="str">
            <v>M0097138</v>
          </cell>
          <cell r="E129" t="str">
            <v>仿棉拉架平纹-180G</v>
          </cell>
          <cell r="F129" t="str">
            <v>否</v>
          </cell>
          <cell r="G129" t="str">
            <v>枣红色</v>
          </cell>
        </row>
        <row r="130">
          <cell r="D130" t="str">
            <v>M0017518</v>
          </cell>
          <cell r="E130" t="str">
            <v>仿棉拉架平纹-200G（阻燃）</v>
          </cell>
          <cell r="F130" t="str">
            <v>是</v>
          </cell>
          <cell r="G130" t="str">
            <v>酒红色</v>
          </cell>
        </row>
        <row r="131">
          <cell r="D131" t="str">
            <v>M0017464</v>
          </cell>
          <cell r="E131" t="str">
            <v>仿棉拉架平纹-200G（阻燃）</v>
          </cell>
          <cell r="F131" t="str">
            <v>是</v>
          </cell>
          <cell r="G131" t="str">
            <v>卡其色</v>
          </cell>
        </row>
        <row r="132">
          <cell r="D132" t="str">
            <v>M00xt21001040171</v>
          </cell>
          <cell r="E132" t="str">
            <v>仿棉拉架平纹-200G（阻燃）</v>
          </cell>
          <cell r="F132" t="str">
            <v>是</v>
          </cell>
          <cell r="G132" t="str">
            <v>宝蓝色</v>
          </cell>
        </row>
        <row r="133">
          <cell r="D133" t="str">
            <v>M0017464</v>
          </cell>
          <cell r="E133" t="str">
            <v>仿棉拉架平纹-200G（阻燃）</v>
          </cell>
          <cell r="F133" t="str">
            <v>是</v>
          </cell>
          <cell r="G133" t="str">
            <v>卡其色</v>
          </cell>
        </row>
        <row r="134">
          <cell r="D134" t="str">
            <v>M0076982</v>
          </cell>
          <cell r="E134" t="str">
            <v>涤1*1拉架罗纹-260G（阻燃）</v>
          </cell>
          <cell r="F134" t="str">
            <v>是</v>
          </cell>
          <cell r="G134" t="str">
            <v>红色</v>
          </cell>
        </row>
        <row r="135">
          <cell r="D135" t="str">
            <v>M0076982</v>
          </cell>
          <cell r="E135" t="str">
            <v>涤1*1拉架罗纹-260G（阻燃）</v>
          </cell>
          <cell r="F135" t="str">
            <v>是</v>
          </cell>
          <cell r="G135" t="str">
            <v>红色</v>
          </cell>
        </row>
        <row r="136">
          <cell r="D136" t="str">
            <v>M0076982</v>
          </cell>
          <cell r="E136" t="str">
            <v>涤1*1拉架罗纹-260G（阻燃）</v>
          </cell>
          <cell r="F136" t="str">
            <v>是</v>
          </cell>
          <cell r="G136" t="str">
            <v>红色</v>
          </cell>
        </row>
        <row r="137">
          <cell r="D137" t="str">
            <v>M00y221001040248</v>
          </cell>
          <cell r="E137" t="str">
            <v>仿棉拉架平纹-200G</v>
          </cell>
          <cell r="F137" t="str">
            <v>是</v>
          </cell>
          <cell r="G137" t="str">
            <v>墨绿</v>
          </cell>
        </row>
        <row r="138">
          <cell r="D138" t="str">
            <v>M0024354</v>
          </cell>
          <cell r="E138" t="str">
            <v>双磨牛奶丝-200G（印花底布）</v>
          </cell>
          <cell r="F138" t="str">
            <v>是</v>
          </cell>
          <cell r="G138" t="str">
            <v>本白色</v>
          </cell>
        </row>
        <row r="139">
          <cell r="D139" t="str">
            <v>M0037950</v>
          </cell>
          <cell r="E139" t="str">
            <v>仿棉拉架平纹-220G（印花底布）</v>
          </cell>
          <cell r="F139" t="str">
            <v>是</v>
          </cell>
          <cell r="G139" t="str">
            <v>米色</v>
          </cell>
        </row>
        <row r="140">
          <cell r="D140" t="str">
            <v>M0078810</v>
          </cell>
          <cell r="E140" t="str">
            <v>涤1*1拉架罗纹-260G（阻燃）</v>
          </cell>
          <cell r="F140" t="str">
            <v>是</v>
          </cell>
          <cell r="G140" t="str">
            <v>深绿</v>
          </cell>
        </row>
        <row r="141">
          <cell r="D141" t="str">
            <v>M00y221001040259</v>
          </cell>
          <cell r="E141" t="str">
            <v>仿棉拉架平纹-200G</v>
          </cell>
          <cell r="F141" t="str">
            <v>是</v>
          </cell>
          <cell r="G141" t="str">
            <v>黑色</v>
          </cell>
        </row>
        <row r="142">
          <cell r="D142" t="str">
            <v>M0099745</v>
          </cell>
          <cell r="E142" t="str">
            <v>双磨牛奶丝-210G</v>
          </cell>
          <cell r="F142" t="str">
            <v>否</v>
          </cell>
          <cell r="G142" t="str">
            <v>深紫红色</v>
          </cell>
        </row>
        <row r="143">
          <cell r="D143" t="str">
            <v>M0076981</v>
          </cell>
          <cell r="E143" t="str">
            <v>涤1*1拉架罗纹-260G（阻燃）</v>
          </cell>
          <cell r="F143" t="str">
            <v>是</v>
          </cell>
          <cell r="G143" t="str">
            <v>深蓝色</v>
          </cell>
        </row>
        <row r="144">
          <cell r="D144" t="str">
            <v>M0078810</v>
          </cell>
          <cell r="E144" t="str">
            <v>涤1*1拉架罗纹-260G（阻燃）</v>
          </cell>
          <cell r="F144" t="str">
            <v>是</v>
          </cell>
          <cell r="G144" t="str">
            <v>深绿</v>
          </cell>
        </row>
        <row r="145">
          <cell r="D145" t="str">
            <v>M0017518</v>
          </cell>
          <cell r="E145" t="str">
            <v>仿棉拉架平纹-200G（阻燃）</v>
          </cell>
          <cell r="F145" t="str">
            <v>是</v>
          </cell>
          <cell r="G145" t="str">
            <v>酒红色</v>
          </cell>
        </row>
        <row r="146">
          <cell r="D146" t="str">
            <v>M0078810</v>
          </cell>
          <cell r="E146" t="str">
            <v>涤1*1拉架罗纹-260G（阻燃）</v>
          </cell>
          <cell r="F146" t="str">
            <v>是</v>
          </cell>
          <cell r="G146" t="str">
            <v>深绿</v>
          </cell>
        </row>
        <row r="147">
          <cell r="D147" t="str">
            <v>M0076981</v>
          </cell>
          <cell r="E147" t="str">
            <v>涤1*1拉架罗纹-260G（阻燃）</v>
          </cell>
          <cell r="F147" t="str">
            <v>是</v>
          </cell>
          <cell r="G147" t="str">
            <v>深蓝色</v>
          </cell>
        </row>
        <row r="148">
          <cell r="D148" t="str">
            <v>M0078810</v>
          </cell>
          <cell r="E148" t="str">
            <v>涤1*1拉架罗纹-260G（阻燃）</v>
          </cell>
          <cell r="F148" t="str">
            <v>是</v>
          </cell>
          <cell r="G148" t="str">
            <v>深绿</v>
          </cell>
        </row>
        <row r="149">
          <cell r="D149" t="str">
            <v>M00y22100104018</v>
          </cell>
          <cell r="E149" t="str">
            <v>仿棉拉架平纹-200G</v>
          </cell>
          <cell r="F149" t="str">
            <v>是</v>
          </cell>
          <cell r="G149" t="str">
            <v>酒红</v>
          </cell>
        </row>
        <row r="150">
          <cell r="D150" t="str">
            <v>M0004000</v>
          </cell>
          <cell r="E150" t="str">
            <v>200G仿棉拉架平纹（印花底布专用）</v>
          </cell>
          <cell r="F150" t="str">
            <v>是</v>
          </cell>
          <cell r="G150" t="str">
            <v>本白色</v>
          </cell>
        </row>
        <row r="151">
          <cell r="D151" t="str">
            <v>M0076980</v>
          </cell>
          <cell r="E151" t="str">
            <v>涤1*1拉架罗纹-260G（阻燃）</v>
          </cell>
          <cell r="F151" t="str">
            <v>是</v>
          </cell>
          <cell r="G151" t="str">
            <v>绿色</v>
          </cell>
        </row>
        <row r="152">
          <cell r="D152" t="str">
            <v>M0071187</v>
          </cell>
          <cell r="E152" t="str">
            <v>涤拉架卫衣-300G（印花底布）</v>
          </cell>
          <cell r="F152" t="str">
            <v>是</v>
          </cell>
          <cell r="G152" t="str">
            <v>白色</v>
          </cell>
        </row>
        <row r="153">
          <cell r="D153" t="str">
            <v>M0004000</v>
          </cell>
          <cell r="E153" t="str">
            <v>200G仿棉拉架平纹（印花底布专用）</v>
          </cell>
          <cell r="F153" t="str">
            <v>是</v>
          </cell>
          <cell r="G153" t="str">
            <v>本白色</v>
          </cell>
        </row>
        <row r="154">
          <cell r="D154" t="str">
            <v>M0075405</v>
          </cell>
          <cell r="E154" t="str">
            <v>涤1*1拉架罗纹-260G（阻燃）</v>
          </cell>
          <cell r="F154" t="str">
            <v>是</v>
          </cell>
          <cell r="G154" t="str">
            <v>白色</v>
          </cell>
        </row>
        <row r="155">
          <cell r="D155" t="str">
            <v>M0099126</v>
          </cell>
          <cell r="E155" t="str">
            <v>全涤卫衣（无拉架）-250G</v>
          </cell>
          <cell r="F155" t="str">
            <v>否</v>
          </cell>
          <cell r="G155" t="str">
            <v>紫色</v>
          </cell>
        </row>
        <row r="156">
          <cell r="D156" t="str">
            <v>M0099894</v>
          </cell>
          <cell r="E156" t="str">
            <v>仿棉拉架平纹-180G</v>
          </cell>
          <cell r="F156" t="str">
            <v>否</v>
          </cell>
          <cell r="G156" t="str">
            <v>藏蓝</v>
          </cell>
        </row>
        <row r="157">
          <cell r="D157" t="str">
            <v>M0099900</v>
          </cell>
          <cell r="E157" t="str">
            <v>仿棉拉架平纹-180G</v>
          </cell>
          <cell r="F157" t="str">
            <v>否</v>
          </cell>
          <cell r="G157" t="str">
            <v>卡其色</v>
          </cell>
        </row>
        <row r="158">
          <cell r="D158" t="str">
            <v>M0004171</v>
          </cell>
          <cell r="E158" t="str">
            <v>仿棉拉架平纹-180G</v>
          </cell>
          <cell r="F158" t="str">
            <v>否</v>
          </cell>
          <cell r="G158" t="str">
            <v>黑色</v>
          </cell>
        </row>
        <row r="159">
          <cell r="D159" t="str">
            <v>M0083208</v>
          </cell>
          <cell r="E159" t="str">
            <v>200G仿棉拉架平纹（印花底布专用）</v>
          </cell>
          <cell r="F159" t="str">
            <v>否</v>
          </cell>
          <cell r="G159" t="str">
            <v>白色</v>
          </cell>
        </row>
        <row r="160">
          <cell r="D160" t="str">
            <v>M0099806</v>
          </cell>
          <cell r="E160" t="str">
            <v>仿棉拉架平纹-180G</v>
          </cell>
          <cell r="F160" t="str">
            <v>否</v>
          </cell>
          <cell r="G160" t="str">
            <v>深粉色</v>
          </cell>
        </row>
        <row r="161">
          <cell r="D161" t="str">
            <v>M0099807</v>
          </cell>
          <cell r="E161" t="str">
            <v>仿棉拉架平纹-180G</v>
          </cell>
          <cell r="F161" t="str">
            <v>否</v>
          </cell>
          <cell r="G161" t="str">
            <v>咖啡色</v>
          </cell>
        </row>
        <row r="162">
          <cell r="D162" t="str">
            <v>M0099808</v>
          </cell>
          <cell r="E162" t="str">
            <v>仿棉拉架平纹-180G</v>
          </cell>
          <cell r="F162" t="str">
            <v>否</v>
          </cell>
          <cell r="G162" t="str">
            <v>藏青</v>
          </cell>
        </row>
        <row r="163">
          <cell r="D163" t="str">
            <v>M0012654</v>
          </cell>
          <cell r="E163" t="str">
            <v>仿棉拉架平纹-180G（印花底布）</v>
          </cell>
          <cell r="F163" t="str">
            <v>否</v>
          </cell>
          <cell r="G163" t="str">
            <v>本白色</v>
          </cell>
        </row>
        <row r="164">
          <cell r="D164" t="str">
            <v>M0099807</v>
          </cell>
          <cell r="E164" t="str">
            <v>仿棉拉架平纹-180G</v>
          </cell>
          <cell r="F164" t="str">
            <v>否</v>
          </cell>
          <cell r="G164" t="str">
            <v>咖啡色</v>
          </cell>
        </row>
        <row r="165">
          <cell r="D165" t="str">
            <v>M0018122</v>
          </cell>
          <cell r="E165" t="str">
            <v>仿棉拉架平纹-180G</v>
          </cell>
          <cell r="F165" t="str">
            <v>是</v>
          </cell>
          <cell r="G165" t="str">
            <v>淡黄</v>
          </cell>
        </row>
        <row r="166">
          <cell r="D166" t="str">
            <v>M0099805</v>
          </cell>
          <cell r="E166" t="str">
            <v>仿棉拉架平纹-180G</v>
          </cell>
          <cell r="F166" t="str">
            <v>否</v>
          </cell>
          <cell r="G166" t="str">
            <v>花灰2</v>
          </cell>
        </row>
        <row r="167">
          <cell r="D167" t="str">
            <v>M0099806</v>
          </cell>
          <cell r="E167" t="str">
            <v>仿棉拉架平纹-180G</v>
          </cell>
          <cell r="F167" t="str">
            <v>否</v>
          </cell>
          <cell r="G167" t="str">
            <v>深粉色</v>
          </cell>
        </row>
        <row r="168">
          <cell r="D168" t="str">
            <v>M0097145</v>
          </cell>
          <cell r="E168" t="str">
            <v>仿棉拉架平纹-180G</v>
          </cell>
          <cell r="F168" t="str">
            <v>否</v>
          </cell>
          <cell r="G168" t="str">
            <v>粉色</v>
          </cell>
        </row>
        <row r="169">
          <cell r="D169" t="str">
            <v>M0016455</v>
          </cell>
          <cell r="E169" t="str">
            <v>仿棉拉架平纹-200G（阻燃）</v>
          </cell>
          <cell r="F169" t="str">
            <v>是</v>
          </cell>
          <cell r="G169" t="str">
            <v>大红</v>
          </cell>
        </row>
        <row r="170">
          <cell r="D170" t="str">
            <v>M0076981</v>
          </cell>
          <cell r="E170" t="str">
            <v>涤1*1拉架罗纹-260G（阻燃）</v>
          </cell>
          <cell r="F170" t="str">
            <v>是</v>
          </cell>
          <cell r="G170" t="str">
            <v>深蓝色</v>
          </cell>
        </row>
        <row r="171">
          <cell r="D171" t="str">
            <v>M0076982</v>
          </cell>
          <cell r="E171" t="str">
            <v>涤1*1拉架罗纹-260G（阻燃）</v>
          </cell>
          <cell r="F171" t="str">
            <v>是</v>
          </cell>
          <cell r="G171" t="str">
            <v>红色</v>
          </cell>
        </row>
        <row r="172">
          <cell r="D172" t="str">
            <v>M0076982</v>
          </cell>
          <cell r="E172" t="str">
            <v>涤1*1拉架罗纹-260G（阻燃）</v>
          </cell>
          <cell r="F172" t="str">
            <v>是</v>
          </cell>
          <cell r="G172" t="str">
            <v>红色</v>
          </cell>
        </row>
        <row r="173">
          <cell r="D173" t="str">
            <v>M0016454</v>
          </cell>
          <cell r="E173" t="str">
            <v>仿棉拉架平纹-200G（阻燃）</v>
          </cell>
          <cell r="F173" t="str">
            <v>是</v>
          </cell>
          <cell r="G173" t="str">
            <v>黑色</v>
          </cell>
        </row>
        <row r="174">
          <cell r="D174" t="str">
            <v>M0071187</v>
          </cell>
          <cell r="E174" t="str">
            <v>涤拉架卫衣-300G（印花底布）</v>
          </cell>
          <cell r="F174" t="str">
            <v>是</v>
          </cell>
          <cell r="G174" t="str">
            <v>白色</v>
          </cell>
        </row>
        <row r="175">
          <cell r="D175" t="str">
            <v>M0076983</v>
          </cell>
          <cell r="E175" t="str">
            <v>涤1*1拉架罗纹-260G（阻燃）</v>
          </cell>
          <cell r="F175" t="str">
            <v>是</v>
          </cell>
          <cell r="G175" t="str">
            <v>黑色</v>
          </cell>
        </row>
        <row r="176">
          <cell r="D176" t="str">
            <v>M0078810</v>
          </cell>
          <cell r="E176" t="str">
            <v>涤1*1拉架罗纹-260G（阻燃）</v>
          </cell>
          <cell r="F176" t="str">
            <v>是</v>
          </cell>
          <cell r="G176" t="str">
            <v>深绿</v>
          </cell>
        </row>
        <row r="177">
          <cell r="D177" t="str">
            <v>M0076983</v>
          </cell>
          <cell r="E177" t="str">
            <v>涤1*1拉架罗纹-260G（阻燃）</v>
          </cell>
          <cell r="F177" t="str">
            <v>是</v>
          </cell>
          <cell r="G177" t="str">
            <v>黑色</v>
          </cell>
        </row>
        <row r="178">
          <cell r="D178" t="str">
            <v>M0016455</v>
          </cell>
          <cell r="E178" t="str">
            <v>仿棉拉架平纹-200G（阻燃）</v>
          </cell>
          <cell r="F178" t="str">
            <v>是</v>
          </cell>
          <cell r="G178" t="str">
            <v>大红</v>
          </cell>
        </row>
        <row r="179">
          <cell r="D179" t="str">
            <v>M0076982</v>
          </cell>
          <cell r="E179" t="str">
            <v>涤1*1拉架罗纹-260G（阻燃）</v>
          </cell>
          <cell r="F179" t="str">
            <v>是</v>
          </cell>
          <cell r="G179" t="str">
            <v>红色</v>
          </cell>
        </row>
        <row r="180">
          <cell r="D180" t="str">
            <v>M0076983</v>
          </cell>
          <cell r="E180" t="str">
            <v>涤1*1拉架罗纹-260G（阻燃）</v>
          </cell>
          <cell r="F180" t="str">
            <v>是</v>
          </cell>
          <cell r="G180" t="str">
            <v>黑色</v>
          </cell>
        </row>
        <row r="181">
          <cell r="D181" t="str">
            <v>M0019114</v>
          </cell>
          <cell r="E181" t="str">
            <v>棉涤拉架罗纹-280G</v>
          </cell>
          <cell r="F181" t="str">
            <v>是</v>
          </cell>
          <cell r="G181" t="str">
            <v>玫红色</v>
          </cell>
        </row>
        <row r="182">
          <cell r="D182" t="str">
            <v>M0016121</v>
          </cell>
          <cell r="E182" t="str">
            <v>棉涤拉架平纹-180G</v>
          </cell>
          <cell r="F182" t="str">
            <v>是</v>
          </cell>
          <cell r="G182" t="str">
            <v>焦糖色</v>
          </cell>
        </row>
        <row r="183">
          <cell r="D183" t="str">
            <v>M0075111</v>
          </cell>
          <cell r="E183" t="str">
            <v>棉涤拉架平纹-180G</v>
          </cell>
          <cell r="F183" t="str">
            <v>是</v>
          </cell>
          <cell r="G183" t="str">
            <v>卡其色</v>
          </cell>
        </row>
        <row r="184">
          <cell r="D184" t="str">
            <v>M0042729</v>
          </cell>
          <cell r="E184" t="str">
            <v>棉涤拉架平纹-180G</v>
          </cell>
          <cell r="F184" t="str">
            <v>是</v>
          </cell>
          <cell r="G184" t="str">
            <v>玫红色</v>
          </cell>
        </row>
        <row r="185">
          <cell r="D185" t="str">
            <v>M0099847</v>
          </cell>
          <cell r="E185" t="str">
            <v>棉涤拉架平纹-180G</v>
          </cell>
          <cell r="F185" t="str">
            <v>否</v>
          </cell>
          <cell r="G185" t="str">
            <v>花灰2</v>
          </cell>
        </row>
        <row r="186">
          <cell r="D186" t="str">
            <v>M0014638</v>
          </cell>
          <cell r="E186" t="str">
            <v>棉涤拉架平纹-180G</v>
          </cell>
          <cell r="F186" t="str">
            <v>是</v>
          </cell>
          <cell r="G186" t="str">
            <v>黑色</v>
          </cell>
        </row>
        <row r="187">
          <cell r="D187" t="str">
            <v>M0019717</v>
          </cell>
          <cell r="E187" t="str">
            <v>棉涤拉架罗纹-280G</v>
          </cell>
          <cell r="F187" t="str">
            <v>否</v>
          </cell>
          <cell r="G187" t="str">
            <v>深蓝色</v>
          </cell>
        </row>
        <row r="188">
          <cell r="D188" t="str">
            <v>M0039252</v>
          </cell>
          <cell r="E188" t="str">
            <v>棉涤拉架平纹-180G</v>
          </cell>
          <cell r="F188" t="str">
            <v>是</v>
          </cell>
          <cell r="G188" t="str">
            <v>品蓝色</v>
          </cell>
        </row>
        <row r="189">
          <cell r="D189" t="str">
            <v>M0020871</v>
          </cell>
          <cell r="E189" t="str">
            <v>棉涤拉架平纹-180G</v>
          </cell>
          <cell r="F189" t="str">
            <v>是</v>
          </cell>
          <cell r="G189" t="str">
            <v>红色</v>
          </cell>
        </row>
        <row r="190">
          <cell r="D190" t="str">
            <v>M0046444</v>
          </cell>
          <cell r="E190" t="str">
            <v>棉涤拉架平纹-180G</v>
          </cell>
          <cell r="F190" t="str">
            <v>是</v>
          </cell>
          <cell r="G190" t="str">
            <v>粉色</v>
          </cell>
        </row>
        <row r="191">
          <cell r="D191" t="str">
            <v>M0099476</v>
          </cell>
          <cell r="E191" t="str">
            <v>棉涤拉架平纹-180G</v>
          </cell>
          <cell r="F191" t="str">
            <v>否</v>
          </cell>
          <cell r="G191" t="str">
            <v>杏黄色</v>
          </cell>
        </row>
        <row r="192">
          <cell r="D192" t="str">
            <v>M0020532</v>
          </cell>
          <cell r="E192" t="str">
            <v>棉涤拉架平纹-180G</v>
          </cell>
          <cell r="F192" t="str">
            <v>是</v>
          </cell>
          <cell r="G192" t="str">
            <v>玫粉</v>
          </cell>
        </row>
        <row r="193">
          <cell r="D193" t="str">
            <v>M0041829</v>
          </cell>
          <cell r="E193" t="str">
            <v>棉涤拉架平纹-180G</v>
          </cell>
          <cell r="F193" t="str">
            <v>是</v>
          </cell>
          <cell r="G193" t="str">
            <v>天蓝</v>
          </cell>
        </row>
        <row r="194">
          <cell r="D194" t="str">
            <v>M0020871</v>
          </cell>
          <cell r="E194" t="str">
            <v>棉涤拉架平纹-180G</v>
          </cell>
          <cell r="F194" t="str">
            <v>是</v>
          </cell>
          <cell r="G194" t="str">
            <v>红色</v>
          </cell>
        </row>
        <row r="195">
          <cell r="D195" t="str">
            <v>M0033017</v>
          </cell>
          <cell r="E195" t="str">
            <v>棉涤拉架平纹-180G</v>
          </cell>
          <cell r="F195" t="str">
            <v>是</v>
          </cell>
          <cell r="G195" t="str">
            <v>红色</v>
          </cell>
        </row>
        <row r="196">
          <cell r="D196" t="str">
            <v>M0021278</v>
          </cell>
          <cell r="E196" t="str">
            <v>棉涤拉架平纹-180G</v>
          </cell>
          <cell r="F196" t="str">
            <v>是</v>
          </cell>
          <cell r="G196" t="str">
            <v>米白</v>
          </cell>
        </row>
        <row r="197">
          <cell r="D197" t="str">
            <v>M0016121</v>
          </cell>
          <cell r="E197" t="str">
            <v>棉涤拉架平纹-180G</v>
          </cell>
          <cell r="F197" t="str">
            <v>是</v>
          </cell>
          <cell r="G197" t="str">
            <v>焦糖色</v>
          </cell>
        </row>
        <row r="198">
          <cell r="D198" t="str">
            <v>M0014924</v>
          </cell>
          <cell r="E198" t="str">
            <v>棉涤拉架罗纹-280G</v>
          </cell>
          <cell r="F198" t="str">
            <v>是</v>
          </cell>
          <cell r="G198" t="str">
            <v>黑色</v>
          </cell>
        </row>
        <row r="199">
          <cell r="D199" t="str">
            <v>M0014824</v>
          </cell>
          <cell r="E199" t="str">
            <v>棉涤拉架卫衣-230G</v>
          </cell>
          <cell r="F199" t="str">
            <v>是</v>
          </cell>
          <cell r="G199" t="str">
            <v>黑色</v>
          </cell>
        </row>
        <row r="200">
          <cell r="D200" t="str">
            <v>M0014638</v>
          </cell>
          <cell r="E200" t="str">
            <v>棉涤拉架平纹-180G</v>
          </cell>
          <cell r="F200" t="str">
            <v>是</v>
          </cell>
          <cell r="G200" t="str">
            <v>黑色</v>
          </cell>
        </row>
        <row r="201">
          <cell r="D201" t="str">
            <v>M0014638</v>
          </cell>
          <cell r="E201" t="str">
            <v>棉涤拉架平纹-180G</v>
          </cell>
          <cell r="F201" t="str">
            <v>是</v>
          </cell>
          <cell r="G201" t="str">
            <v>黑色</v>
          </cell>
        </row>
        <row r="202">
          <cell r="D202" t="str">
            <v>M0021278</v>
          </cell>
          <cell r="E202" t="str">
            <v>棉涤拉架平纹-180G</v>
          </cell>
          <cell r="F202" t="str">
            <v>是</v>
          </cell>
          <cell r="G202" t="str">
            <v>米白</v>
          </cell>
        </row>
        <row r="203">
          <cell r="D203" t="str">
            <v>M0100161</v>
          </cell>
          <cell r="E203" t="str">
            <v>棉涤拉架平纹-180G</v>
          </cell>
          <cell r="F203" t="str">
            <v>否</v>
          </cell>
          <cell r="G203" t="str">
            <v>黄褐色</v>
          </cell>
        </row>
        <row r="204">
          <cell r="D204" t="str">
            <v>F0097880</v>
          </cell>
          <cell r="E204" t="str">
            <v>3#尼龙注塑闭口链+自动头 65CM</v>
          </cell>
          <cell r="F204" t="str">
            <v>否</v>
          </cell>
          <cell r="G204" t="str">
            <v>黄色</v>
          </cell>
        </row>
        <row r="205">
          <cell r="D205" t="str">
            <v>F0098050</v>
          </cell>
          <cell r="E205" t="str">
            <v>3#尼龙注塑闭口链+自动头 65CM</v>
          </cell>
          <cell r="F205" t="str">
            <v>否</v>
          </cell>
          <cell r="G205" t="str">
            <v>粉色</v>
          </cell>
        </row>
        <row r="206">
          <cell r="D206" t="str">
            <v>F0097522</v>
          </cell>
          <cell r="E206" t="str">
            <v>3#尼龙注塑闭口链+自动头 65CM</v>
          </cell>
          <cell r="F206" t="str">
            <v>否</v>
          </cell>
          <cell r="G206" t="str">
            <v>浅紫</v>
          </cell>
        </row>
        <row r="207">
          <cell r="D207" t="str">
            <v>F0099991</v>
          </cell>
          <cell r="E207" t="str">
            <v>3#勿尾自动头 胶牙拉链 55CM</v>
          </cell>
          <cell r="F207" t="str">
            <v>否</v>
          </cell>
          <cell r="G207" t="str">
            <v>草绿</v>
          </cell>
        </row>
        <row r="208">
          <cell r="D208" t="str">
            <v>F0068800</v>
          </cell>
          <cell r="E208" t="str">
            <v>3#开尾自动头 胶牙拉链 45CM</v>
          </cell>
          <cell r="F208" t="str">
            <v>否</v>
          </cell>
          <cell r="G208" t="str">
            <v>红色</v>
          </cell>
        </row>
        <row r="209">
          <cell r="D209" t="str">
            <v>F0100287</v>
          </cell>
          <cell r="E209" t="str">
            <v>3#开尾自动头 胶牙拉链 50CM</v>
          </cell>
          <cell r="F209" t="str">
            <v>否</v>
          </cell>
          <cell r="G209" t="str">
            <v>深蓝色</v>
          </cell>
        </row>
        <row r="210">
          <cell r="D210" t="str">
            <v>F0074546</v>
          </cell>
          <cell r="E210" t="str">
            <v>3#隐形蕾丝带闭口链+自动头 40CM</v>
          </cell>
          <cell r="F210" t="str">
            <v>否</v>
          </cell>
          <cell r="G210" t="str">
            <v>酒红色</v>
          </cell>
        </row>
        <row r="211">
          <cell r="D211" t="str">
            <v>F0019225</v>
          </cell>
          <cell r="E211" t="str">
            <v>3#尼龙注塑闭口链+自动头 55CM</v>
          </cell>
          <cell r="F211" t="str">
            <v>否</v>
          </cell>
          <cell r="G211" t="str">
            <v>大红</v>
          </cell>
        </row>
        <row r="212">
          <cell r="D212" t="str">
            <v>M0089959</v>
          </cell>
          <cell r="E212" t="str">
            <v>人棉坑条布-260G</v>
          </cell>
          <cell r="F212" t="str">
            <v>否</v>
          </cell>
          <cell r="G212" t="str">
            <v>白色</v>
          </cell>
        </row>
        <row r="213">
          <cell r="D213" t="str">
            <v>F0080086</v>
          </cell>
          <cell r="E213" t="str">
            <v>魔术贴</v>
          </cell>
          <cell r="F213" t="str">
            <v>否</v>
          </cell>
          <cell r="G213" t="str">
            <v>白色</v>
          </cell>
        </row>
        <row r="214">
          <cell r="D214" t="str">
            <v>M0097721</v>
          </cell>
          <cell r="E214" t="str">
            <v>全棉拉架平纹-190G</v>
          </cell>
          <cell r="F214" t="str">
            <v>否</v>
          </cell>
          <cell r="G214" t="str">
            <v>绿色</v>
          </cell>
        </row>
        <row r="215">
          <cell r="D215" t="str">
            <v>M0097721</v>
          </cell>
          <cell r="E215" t="str">
            <v>全棉拉架平纹-190G</v>
          </cell>
          <cell r="F215" t="str">
            <v>否</v>
          </cell>
          <cell r="G215" t="str">
            <v>绿色</v>
          </cell>
        </row>
        <row r="216">
          <cell r="D216" t="str">
            <v>M0097721</v>
          </cell>
          <cell r="E216" t="str">
            <v>全棉拉架平纹-190G</v>
          </cell>
          <cell r="F216" t="str">
            <v>否</v>
          </cell>
          <cell r="G216" t="str">
            <v>绿色</v>
          </cell>
        </row>
        <row r="217">
          <cell r="D217" t="str">
            <v>M0090489</v>
          </cell>
          <cell r="E217" t="str">
            <v>全棉拉架平纹-190G</v>
          </cell>
          <cell r="F217" t="str">
            <v>否</v>
          </cell>
          <cell r="G217" t="str">
            <v>白色</v>
          </cell>
        </row>
        <row r="218">
          <cell r="D218" t="str">
            <v>M0090314</v>
          </cell>
          <cell r="E218" t="str">
            <v>竹纤维拉架平纹-180G</v>
          </cell>
          <cell r="F218" t="str">
            <v>否</v>
          </cell>
          <cell r="G218" t="str">
            <v>蓝色</v>
          </cell>
        </row>
        <row r="219">
          <cell r="D219" t="str">
            <v>M0086045</v>
          </cell>
          <cell r="E219" t="str">
            <v>涤平纹</v>
          </cell>
          <cell r="F219" t="str">
            <v>否</v>
          </cell>
          <cell r="G219" t="str">
            <v>白色</v>
          </cell>
        </row>
        <row r="220">
          <cell r="D220" t="str">
            <v>M0100186</v>
          </cell>
          <cell r="E220" t="str">
            <v>涤平纹</v>
          </cell>
          <cell r="F220" t="str">
            <v>否</v>
          </cell>
          <cell r="G220" t="str">
            <v>酒红色</v>
          </cell>
        </row>
        <row r="221">
          <cell r="D221" t="str">
            <v>M0088238</v>
          </cell>
          <cell r="E221" t="str">
            <v>涤平纹</v>
          </cell>
          <cell r="F221" t="str">
            <v>否</v>
          </cell>
          <cell r="G221" t="str">
            <v>大白</v>
          </cell>
        </row>
        <row r="222">
          <cell r="D222" t="str">
            <v>M0086977</v>
          </cell>
          <cell r="E222" t="str">
            <v>涤平纹</v>
          </cell>
          <cell r="F222" t="str">
            <v>否</v>
          </cell>
          <cell r="G222" t="str">
            <v>粉色</v>
          </cell>
        </row>
        <row r="223">
          <cell r="D223" t="str">
            <v>M0074323</v>
          </cell>
          <cell r="E223" t="str">
            <v>涤平纹</v>
          </cell>
          <cell r="F223" t="str">
            <v>否</v>
          </cell>
          <cell r="G223" t="str">
            <v>紫色</v>
          </cell>
        </row>
        <row r="224">
          <cell r="D224" t="str">
            <v>M0100224</v>
          </cell>
          <cell r="E224" t="str">
            <v>涤棉卫衣（无拉架）-280G</v>
          </cell>
          <cell r="F224" t="str">
            <v>否</v>
          </cell>
          <cell r="G224" t="str">
            <v>浅紫</v>
          </cell>
        </row>
        <row r="225">
          <cell r="D225" t="str">
            <v>M0100225</v>
          </cell>
          <cell r="E225" t="str">
            <v>涤棉拉架罗纹-340G</v>
          </cell>
          <cell r="F225" t="str">
            <v>否</v>
          </cell>
          <cell r="G225" t="str">
            <v>浅紫</v>
          </cell>
        </row>
        <row r="226">
          <cell r="D226" t="str">
            <v>M0100293</v>
          </cell>
          <cell r="E226" t="str">
            <v>全棉2*2拉架罗纹-460G</v>
          </cell>
          <cell r="F226" t="str">
            <v>否</v>
          </cell>
          <cell r="G226" t="str">
            <v>白花灰</v>
          </cell>
        </row>
        <row r="227">
          <cell r="D227" t="str">
            <v>M0100288</v>
          </cell>
          <cell r="E227" t="str">
            <v>全棉2*2拉架罗纹-460G</v>
          </cell>
          <cell r="F227" t="str">
            <v>否</v>
          </cell>
          <cell r="G227" t="str">
            <v>深蓝色</v>
          </cell>
        </row>
        <row r="228">
          <cell r="D228" t="str">
            <v>M0100218</v>
          </cell>
          <cell r="E228" t="str">
            <v>全棉2*2拉架罗纹-460G</v>
          </cell>
          <cell r="F228" t="str">
            <v>否</v>
          </cell>
          <cell r="G228" t="str">
            <v>藏蓝</v>
          </cell>
        </row>
        <row r="229">
          <cell r="D229" t="str">
            <v>M0100219</v>
          </cell>
          <cell r="E229" t="str">
            <v>全棉2*2拉架罗纹-400G</v>
          </cell>
          <cell r="F229" t="str">
            <v>否</v>
          </cell>
          <cell r="G229" t="str">
            <v>深绿</v>
          </cell>
        </row>
        <row r="230">
          <cell r="D230" t="str">
            <v>M0100220</v>
          </cell>
          <cell r="E230" t="str">
            <v>全棉2*2拉架罗纹-400G</v>
          </cell>
          <cell r="F230" t="str">
            <v>否</v>
          </cell>
          <cell r="G230" t="str">
            <v>淡黄</v>
          </cell>
        </row>
        <row r="231">
          <cell r="D231" t="str">
            <v>M0100205</v>
          </cell>
          <cell r="E231" t="str">
            <v>全棉2*2拉架罗纹-400G</v>
          </cell>
          <cell r="F231" t="str">
            <v>否</v>
          </cell>
          <cell r="G231" t="str">
            <v>白花灰</v>
          </cell>
        </row>
        <row r="232">
          <cell r="D232" t="str">
            <v>M0085375</v>
          </cell>
          <cell r="E232" t="str">
            <v>全棉2*2拉架罗纹-400G</v>
          </cell>
          <cell r="F232" t="str">
            <v>否</v>
          </cell>
          <cell r="G232" t="str">
            <v>紫色</v>
          </cell>
        </row>
        <row r="233">
          <cell r="D233" t="str">
            <v>M0100190</v>
          </cell>
          <cell r="E233" t="str">
            <v>全棉2*2拉架罗纹-460G</v>
          </cell>
          <cell r="F233" t="str">
            <v>否</v>
          </cell>
          <cell r="G233" t="str">
            <v>灰色</v>
          </cell>
        </row>
        <row r="234">
          <cell r="D234" t="str">
            <v>M0100162</v>
          </cell>
          <cell r="E234" t="str">
            <v>棉涤卫衣-280G</v>
          </cell>
          <cell r="F234" t="str">
            <v>否</v>
          </cell>
          <cell r="G234" t="str">
            <v>黄褐色</v>
          </cell>
        </row>
        <row r="235">
          <cell r="D235" t="str">
            <v>M0050609</v>
          </cell>
          <cell r="E235" t="str">
            <v>全棉拉架平纹-180G</v>
          </cell>
          <cell r="F235" t="str">
            <v>是</v>
          </cell>
          <cell r="G235" t="str">
            <v>白色</v>
          </cell>
        </row>
        <row r="236">
          <cell r="D236" t="str">
            <v>M0003304</v>
          </cell>
          <cell r="E236" t="str">
            <v>全棉拉架平纹-180G</v>
          </cell>
          <cell r="F236" t="str">
            <v>是</v>
          </cell>
          <cell r="G236" t="str">
            <v>天蓝</v>
          </cell>
        </row>
        <row r="237">
          <cell r="D237" t="str">
            <v>M0051286</v>
          </cell>
          <cell r="E237" t="str">
            <v>全棉拉架平纹-180G</v>
          </cell>
          <cell r="F237" t="str">
            <v>是</v>
          </cell>
          <cell r="G237" t="str">
            <v>浅粉</v>
          </cell>
        </row>
        <row r="238">
          <cell r="D238" t="str">
            <v>M0060114</v>
          </cell>
          <cell r="E238" t="str">
            <v>全棉拉架平纹-180G</v>
          </cell>
          <cell r="F238" t="str">
            <v>是</v>
          </cell>
          <cell r="G238" t="str">
            <v>红色</v>
          </cell>
        </row>
        <row r="239">
          <cell r="D239" t="str">
            <v>M0051250</v>
          </cell>
          <cell r="E239" t="str">
            <v>全棉拉架平纹-180G</v>
          </cell>
          <cell r="F239" t="str">
            <v>是</v>
          </cell>
          <cell r="G239" t="str">
            <v>白色</v>
          </cell>
        </row>
        <row r="240">
          <cell r="D240" t="str">
            <v>M0061968</v>
          </cell>
          <cell r="E240" t="str">
            <v>全棉拉架平纹-180G</v>
          </cell>
          <cell r="F240" t="str">
            <v>是</v>
          </cell>
          <cell r="G240" t="str">
            <v>蓝色</v>
          </cell>
        </row>
        <row r="241">
          <cell r="D241" t="str">
            <v>M0063019</v>
          </cell>
          <cell r="E241" t="str">
            <v>全棉拉架平纹-180G</v>
          </cell>
          <cell r="F241" t="str">
            <v>是</v>
          </cell>
          <cell r="G241" t="str">
            <v>红色</v>
          </cell>
        </row>
        <row r="242">
          <cell r="D242" t="str">
            <v>M0002028</v>
          </cell>
          <cell r="E242" t="str">
            <v>全棉拉架平纹-180G</v>
          </cell>
          <cell r="F242" t="str">
            <v>否</v>
          </cell>
          <cell r="G242" t="str">
            <v>淡黄</v>
          </cell>
        </row>
        <row r="243">
          <cell r="D243" t="str">
            <v>M0100126</v>
          </cell>
          <cell r="E243" t="str">
            <v>坑条布</v>
          </cell>
          <cell r="F243" t="str">
            <v>否</v>
          </cell>
          <cell r="G243" t="str">
            <v>黄色</v>
          </cell>
        </row>
        <row r="244">
          <cell r="D244" t="str">
            <v>M0099912</v>
          </cell>
          <cell r="E244" t="str">
            <v>全涤2*2拉架罗纹-180G</v>
          </cell>
          <cell r="F244" t="str">
            <v>否</v>
          </cell>
          <cell r="G244" t="str">
            <v>白色</v>
          </cell>
        </row>
        <row r="245">
          <cell r="D245" t="str">
            <v>M0100199</v>
          </cell>
          <cell r="E245" t="str">
            <v>涤棉拉架卫衣-290G</v>
          </cell>
          <cell r="F245" t="str">
            <v>否</v>
          </cell>
          <cell r="G245" t="str">
            <v>绿色</v>
          </cell>
        </row>
        <row r="246">
          <cell r="D246" t="str">
            <v>M0097434</v>
          </cell>
          <cell r="E246" t="str">
            <v>彩棉拉架平纹-180G</v>
          </cell>
          <cell r="F246" t="str">
            <v>否</v>
          </cell>
          <cell r="G246" t="str">
            <v>粉色</v>
          </cell>
        </row>
        <row r="247">
          <cell r="D247" t="str">
            <v>M0093824</v>
          </cell>
          <cell r="E247" t="str">
            <v>全棉拉架平纹-190G</v>
          </cell>
          <cell r="F247" t="str">
            <v>否</v>
          </cell>
          <cell r="G247" t="str">
            <v>杏色</v>
          </cell>
        </row>
        <row r="248">
          <cell r="D248" t="str">
            <v>M0090489</v>
          </cell>
          <cell r="E248" t="str">
            <v>全棉拉架平纹-190G</v>
          </cell>
          <cell r="F248" t="str">
            <v>否</v>
          </cell>
          <cell r="G248" t="str">
            <v>白色</v>
          </cell>
        </row>
        <row r="249">
          <cell r="D249" t="str">
            <v>M0094803</v>
          </cell>
          <cell r="E249" t="str">
            <v>全棉拉架平纹-190G</v>
          </cell>
          <cell r="F249" t="str">
            <v>否</v>
          </cell>
          <cell r="G249" t="str">
            <v>咖啡色</v>
          </cell>
        </row>
        <row r="250">
          <cell r="D250" t="str">
            <v>M0096379</v>
          </cell>
          <cell r="E250" t="str">
            <v>棉涤拉架平纹-190G</v>
          </cell>
          <cell r="F250" t="str">
            <v>否</v>
          </cell>
          <cell r="G250" t="str">
            <v>白色</v>
          </cell>
        </row>
        <row r="251">
          <cell r="D251" t="str">
            <v>M0088888</v>
          </cell>
          <cell r="E251" t="str">
            <v>运动瑜伽面料-180G</v>
          </cell>
          <cell r="F251" t="str">
            <v>否</v>
          </cell>
          <cell r="G251" t="str">
            <v>白色</v>
          </cell>
        </row>
        <row r="252">
          <cell r="D252" t="str">
            <v>M0094259</v>
          </cell>
          <cell r="E252" t="str">
            <v>涤棉拉架平纹-180G</v>
          </cell>
          <cell r="F252" t="str">
            <v>否</v>
          </cell>
          <cell r="G252" t="str">
            <v>粉色</v>
          </cell>
        </row>
        <row r="253">
          <cell r="D253" t="str">
            <v>M0094251</v>
          </cell>
          <cell r="E253" t="str">
            <v>涤棉拉架平纹-180G</v>
          </cell>
          <cell r="F253" t="str">
            <v>否</v>
          </cell>
          <cell r="G253" t="str">
            <v>紫色</v>
          </cell>
        </row>
        <row r="254">
          <cell r="D254" t="str">
            <v>M0094242</v>
          </cell>
          <cell r="E254" t="str">
            <v>涤棉拉架平纹-180G</v>
          </cell>
          <cell r="F254" t="str">
            <v>否</v>
          </cell>
          <cell r="G254" t="str">
            <v>淡黄</v>
          </cell>
        </row>
        <row r="255">
          <cell r="D255" t="str">
            <v>M0094214</v>
          </cell>
          <cell r="E255" t="str">
            <v>涤棉拉架平纹-180G</v>
          </cell>
          <cell r="F255" t="str">
            <v>否</v>
          </cell>
          <cell r="G255" t="str">
            <v>蓝色</v>
          </cell>
        </row>
        <row r="256">
          <cell r="D256" t="str">
            <v>M0094245</v>
          </cell>
          <cell r="E256" t="str">
            <v>涤棉拉架平纹-180G</v>
          </cell>
          <cell r="F256" t="str">
            <v>否</v>
          </cell>
          <cell r="G256" t="str">
            <v>金菊黄</v>
          </cell>
        </row>
        <row r="257">
          <cell r="D257" t="str">
            <v>M0094240</v>
          </cell>
          <cell r="E257" t="str">
            <v>涤棉拉架平纹-180G</v>
          </cell>
          <cell r="F257" t="str">
            <v>否</v>
          </cell>
          <cell r="G257" t="str">
            <v>淡蓝</v>
          </cell>
        </row>
        <row r="258">
          <cell r="D258" t="str">
            <v>M0094255</v>
          </cell>
          <cell r="E258" t="str">
            <v>涤棉拉架平纹-180G</v>
          </cell>
          <cell r="F258" t="str">
            <v>否</v>
          </cell>
          <cell r="G258" t="str">
            <v>淡绿</v>
          </cell>
        </row>
        <row r="259">
          <cell r="D259" t="str">
            <v>M0094245</v>
          </cell>
          <cell r="E259" t="str">
            <v>涤棉拉架平纹-180G</v>
          </cell>
          <cell r="F259" t="str">
            <v>否</v>
          </cell>
          <cell r="G259" t="str">
            <v>金菊黄</v>
          </cell>
        </row>
        <row r="260">
          <cell r="D260" t="str">
            <v>M0094254</v>
          </cell>
          <cell r="E260" t="str">
            <v>涤棉拉架平纹-180G</v>
          </cell>
          <cell r="F260" t="str">
            <v>否</v>
          </cell>
          <cell r="G260" t="str">
            <v>橙色</v>
          </cell>
        </row>
        <row r="261">
          <cell r="D261" t="str">
            <v>M0094253</v>
          </cell>
          <cell r="E261" t="str">
            <v>涤棉拉架平纹-180G</v>
          </cell>
          <cell r="F261" t="str">
            <v>否</v>
          </cell>
          <cell r="G261" t="str">
            <v>花灰2</v>
          </cell>
        </row>
        <row r="262">
          <cell r="D262" t="str">
            <v>M0094248</v>
          </cell>
          <cell r="E262" t="str">
            <v>涤棉拉架平纹-180G</v>
          </cell>
          <cell r="F262" t="str">
            <v>否</v>
          </cell>
          <cell r="G262" t="str">
            <v>红色</v>
          </cell>
        </row>
        <row r="263">
          <cell r="D263" t="str">
            <v>M0094205</v>
          </cell>
          <cell r="E263" t="str">
            <v>涤棉拉架平纹-180G</v>
          </cell>
          <cell r="F263" t="str">
            <v>否</v>
          </cell>
          <cell r="G263" t="str">
            <v>草绿</v>
          </cell>
        </row>
        <row r="264">
          <cell r="D264" t="str">
            <v>M0094258</v>
          </cell>
          <cell r="E264" t="str">
            <v>涤棉拉架平纹-180G</v>
          </cell>
          <cell r="F264" t="str">
            <v>否</v>
          </cell>
          <cell r="G264" t="str">
            <v>桃粉</v>
          </cell>
        </row>
        <row r="265">
          <cell r="D265" t="str">
            <v>M0094243</v>
          </cell>
          <cell r="E265" t="str">
            <v>涤棉拉架平纹-180G</v>
          </cell>
          <cell r="F265" t="str">
            <v>否</v>
          </cell>
          <cell r="G265" t="str">
            <v>薄荷蓝</v>
          </cell>
        </row>
        <row r="266">
          <cell r="D266" t="str">
            <v>M0094258</v>
          </cell>
          <cell r="E266" t="str">
            <v>涤棉拉架平纹-180G</v>
          </cell>
          <cell r="F266" t="str">
            <v>否</v>
          </cell>
          <cell r="G266" t="str">
            <v>桃粉</v>
          </cell>
        </row>
        <row r="267">
          <cell r="D267" t="str">
            <v>M0094256</v>
          </cell>
          <cell r="E267" t="str">
            <v>涤棉拉架平纹-180G</v>
          </cell>
          <cell r="F267" t="str">
            <v>否</v>
          </cell>
          <cell r="G267" t="str">
            <v>紫罗兰</v>
          </cell>
        </row>
        <row r="268">
          <cell r="D268" t="str">
            <v>M0094263</v>
          </cell>
          <cell r="E268" t="str">
            <v>涤棉拉架平纹-180G</v>
          </cell>
          <cell r="F268" t="str">
            <v>否</v>
          </cell>
          <cell r="G268" t="str">
            <v>深粉色</v>
          </cell>
        </row>
        <row r="269">
          <cell r="D269" t="str">
            <v>M0094262</v>
          </cell>
          <cell r="E269" t="str">
            <v>涤棉拉架平纹-180G</v>
          </cell>
          <cell r="F269" t="str">
            <v>否</v>
          </cell>
          <cell r="G269" t="str">
            <v>浅粉</v>
          </cell>
        </row>
        <row r="270">
          <cell r="D270" t="str">
            <v>M0100281</v>
          </cell>
          <cell r="E270" t="str">
            <v>色织格子</v>
          </cell>
          <cell r="F270" t="str">
            <v>否</v>
          </cell>
          <cell r="G270" t="str">
            <v>酒红色</v>
          </cell>
        </row>
        <row r="271">
          <cell r="D271" t="str">
            <v>M0100233</v>
          </cell>
          <cell r="E271" t="str">
            <v>色织格子</v>
          </cell>
          <cell r="F271" t="str">
            <v>否</v>
          </cell>
          <cell r="G271" t="str">
            <v>咖啡色</v>
          </cell>
        </row>
        <row r="272">
          <cell r="D272" t="str">
            <v>M0100185</v>
          </cell>
          <cell r="E272" t="str">
            <v>色织格子</v>
          </cell>
          <cell r="F272" t="str">
            <v>否</v>
          </cell>
          <cell r="G272" t="str">
            <v>酒红色</v>
          </cell>
        </row>
        <row r="273">
          <cell r="D273" t="str">
            <v>M00r82100102r18</v>
          </cell>
          <cell r="E273" t="str">
            <v>50D四面弹</v>
          </cell>
          <cell r="F273" t="str">
            <v>是</v>
          </cell>
          <cell r="G273" t="str">
            <v>酒红</v>
          </cell>
        </row>
        <row r="274">
          <cell r="D274" t="str">
            <v>M0066261</v>
          </cell>
          <cell r="E274" t="str">
            <v>50D四面弹</v>
          </cell>
          <cell r="F274" t="str">
            <v>是</v>
          </cell>
          <cell r="G274" t="str">
            <v>咖啡色</v>
          </cell>
        </row>
        <row r="275">
          <cell r="D275" t="str">
            <v>M0084930</v>
          </cell>
          <cell r="E275" t="str">
            <v>棉大卫衣扎染-300G</v>
          </cell>
          <cell r="F275" t="str">
            <v>否</v>
          </cell>
          <cell r="G275" t="str">
            <v>紫色</v>
          </cell>
        </row>
        <row r="276">
          <cell r="D276" t="str">
            <v>M0026226</v>
          </cell>
          <cell r="E276" t="str">
            <v>9088半工艺</v>
          </cell>
          <cell r="F276" t="str">
            <v>是</v>
          </cell>
          <cell r="G276" t="str">
            <v>米黄</v>
          </cell>
        </row>
        <row r="277">
          <cell r="D277" t="str">
            <v>F0093883</v>
          </cell>
          <cell r="E277" t="str">
            <v>3#尼龙注塑闭口链+自动头 50CM</v>
          </cell>
          <cell r="F277" t="str">
            <v>否</v>
          </cell>
          <cell r="G277" t="str">
            <v>草绿</v>
          </cell>
        </row>
        <row r="278">
          <cell r="D278" t="str">
            <v>F0100232</v>
          </cell>
          <cell r="E278" t="str">
            <v>3#隐形蕾丝带闭口链+自动头 55CM</v>
          </cell>
          <cell r="F278" t="str">
            <v>否</v>
          </cell>
          <cell r="G278" t="str">
            <v>咖啡色</v>
          </cell>
        </row>
        <row r="279">
          <cell r="D279" t="str">
            <v>M0090447</v>
          </cell>
          <cell r="E279" t="str">
            <v>全棉拉架平纹-180G</v>
          </cell>
          <cell r="F279" t="str">
            <v>否</v>
          </cell>
          <cell r="G279" t="str">
            <v>紫色</v>
          </cell>
        </row>
        <row r="280">
          <cell r="D280" t="str">
            <v>M0086117</v>
          </cell>
          <cell r="E280" t="str">
            <v>全棉拉架坑条-180G</v>
          </cell>
          <cell r="F280" t="str">
            <v>否</v>
          </cell>
          <cell r="G280" t="str">
            <v>绿色</v>
          </cell>
        </row>
        <row r="281">
          <cell r="D281" t="str">
            <v>M0061247</v>
          </cell>
          <cell r="E281" t="str">
            <v>全棉拉架坑条-180G</v>
          </cell>
          <cell r="F281" t="str">
            <v>是</v>
          </cell>
          <cell r="G281" t="str">
            <v>黄色</v>
          </cell>
        </row>
        <row r="282">
          <cell r="D282" t="str">
            <v>M0048997</v>
          </cell>
          <cell r="E282" t="str">
            <v>全棉拉架坑条-180G</v>
          </cell>
          <cell r="F282" t="str">
            <v>是</v>
          </cell>
          <cell r="G282" t="str">
            <v>浅紫</v>
          </cell>
        </row>
        <row r="283">
          <cell r="D283" t="str">
            <v>M0048994</v>
          </cell>
          <cell r="E283" t="str">
            <v>全棉拉架坑条-180G</v>
          </cell>
          <cell r="F283" t="str">
            <v>是</v>
          </cell>
          <cell r="G283" t="str">
            <v>浅粉</v>
          </cell>
        </row>
        <row r="284">
          <cell r="D284" t="str">
            <v>M0049000</v>
          </cell>
          <cell r="E284" t="str">
            <v>全棉拉架坑条-180G</v>
          </cell>
          <cell r="F284" t="str">
            <v>是</v>
          </cell>
          <cell r="G284" t="str">
            <v>浅蓝</v>
          </cell>
        </row>
        <row r="285">
          <cell r="D285" t="str">
            <v>M0005369</v>
          </cell>
          <cell r="E285" t="str">
            <v>全棉拉架平纹-180G</v>
          </cell>
          <cell r="F285" t="str">
            <v>是</v>
          </cell>
          <cell r="G285" t="str">
            <v>深粉</v>
          </cell>
        </row>
        <row r="286">
          <cell r="D286" t="str">
            <v>M0063551</v>
          </cell>
          <cell r="E286" t="str">
            <v>全棉拉架平纹-180G</v>
          </cell>
          <cell r="F286" t="str">
            <v>是</v>
          </cell>
          <cell r="G286" t="str">
            <v>黑色</v>
          </cell>
        </row>
        <row r="287">
          <cell r="D287" t="str">
            <v>M0011343</v>
          </cell>
          <cell r="E287" t="str">
            <v>全棉拉架平纹-180G</v>
          </cell>
          <cell r="F287" t="str">
            <v>是</v>
          </cell>
          <cell r="G287" t="str">
            <v>蓝色</v>
          </cell>
        </row>
        <row r="288">
          <cell r="D288" t="str">
            <v>M0060114</v>
          </cell>
          <cell r="E288" t="str">
            <v>全棉拉架平纹-180G</v>
          </cell>
          <cell r="F288" t="str">
            <v>是</v>
          </cell>
          <cell r="G288" t="str">
            <v>红色</v>
          </cell>
        </row>
        <row r="289">
          <cell r="D289" t="str">
            <v>M0064927</v>
          </cell>
          <cell r="E289" t="str">
            <v>全棉拉架平纹-180G</v>
          </cell>
          <cell r="F289" t="str">
            <v>是</v>
          </cell>
          <cell r="G289" t="str">
            <v>橙色</v>
          </cell>
        </row>
        <row r="290">
          <cell r="D290" t="str">
            <v>M0060327</v>
          </cell>
          <cell r="E290" t="str">
            <v>全棉拉架平纹-180G</v>
          </cell>
          <cell r="F290" t="str">
            <v>是</v>
          </cell>
          <cell r="G290" t="str">
            <v>蓝灰色</v>
          </cell>
        </row>
        <row r="291">
          <cell r="D291" t="str">
            <v>M0062902</v>
          </cell>
          <cell r="E291" t="str">
            <v>全棉拉架平纹-180G</v>
          </cell>
          <cell r="F291" t="str">
            <v>是</v>
          </cell>
          <cell r="G291" t="str">
            <v>浅蓝</v>
          </cell>
        </row>
        <row r="292">
          <cell r="D292" t="str">
            <v>M0060114</v>
          </cell>
          <cell r="E292" t="str">
            <v>全棉拉架平纹-180G</v>
          </cell>
          <cell r="F292" t="str">
            <v>是</v>
          </cell>
          <cell r="G292" t="str">
            <v>红色</v>
          </cell>
        </row>
        <row r="293">
          <cell r="D293" t="str">
            <v>M0060114</v>
          </cell>
          <cell r="E293" t="str">
            <v>全棉拉架平纹-180G</v>
          </cell>
          <cell r="F293" t="str">
            <v>是</v>
          </cell>
          <cell r="G293" t="str">
            <v>红色</v>
          </cell>
        </row>
        <row r="294">
          <cell r="D294" t="str">
            <v>M0002029</v>
          </cell>
          <cell r="E294" t="str">
            <v>全棉拉架平纹-180G</v>
          </cell>
          <cell r="F294" t="str">
            <v>是</v>
          </cell>
          <cell r="G294" t="str">
            <v>蓝绿色</v>
          </cell>
        </row>
        <row r="295">
          <cell r="D295" t="str">
            <v>M0062036</v>
          </cell>
          <cell r="E295" t="str">
            <v>全棉拉架平纹-180G</v>
          </cell>
          <cell r="F295" t="str">
            <v>是</v>
          </cell>
          <cell r="G295" t="str">
            <v>薄荷绿</v>
          </cell>
        </row>
        <row r="296">
          <cell r="D296" t="str">
            <v>M0098607</v>
          </cell>
          <cell r="E296" t="str">
            <v>全棉拉架平纹-180G</v>
          </cell>
          <cell r="F296" t="str">
            <v>否</v>
          </cell>
          <cell r="G296" t="str">
            <v>粉色</v>
          </cell>
        </row>
        <row r="297">
          <cell r="D297" t="str">
            <v>M0094047</v>
          </cell>
          <cell r="E297" t="str">
            <v>全棉拉架平纹-180G</v>
          </cell>
          <cell r="F297" t="str">
            <v>否</v>
          </cell>
          <cell r="G297" t="str">
            <v>黑+灰</v>
          </cell>
        </row>
        <row r="298">
          <cell r="D298" t="str">
            <v>M0094047</v>
          </cell>
          <cell r="E298" t="str">
            <v>全棉拉架平纹-180G</v>
          </cell>
          <cell r="F298" t="str">
            <v>否</v>
          </cell>
          <cell r="G298" t="str">
            <v>黑+灰</v>
          </cell>
        </row>
        <row r="299">
          <cell r="D299" t="str">
            <v>M0096157</v>
          </cell>
          <cell r="E299" t="str">
            <v>全棉拉架平纹-180G</v>
          </cell>
          <cell r="F299" t="str">
            <v>否</v>
          </cell>
          <cell r="G299" t="str">
            <v>黑色</v>
          </cell>
        </row>
        <row r="300">
          <cell r="D300" t="str">
            <v>M0050609</v>
          </cell>
          <cell r="E300" t="str">
            <v>全棉拉架平纹-180G</v>
          </cell>
          <cell r="F300" t="str">
            <v>是</v>
          </cell>
          <cell r="G300" t="str">
            <v>白色</v>
          </cell>
        </row>
        <row r="301">
          <cell r="D301" t="str">
            <v>M0061726</v>
          </cell>
          <cell r="E301" t="str">
            <v>全棉拉架平纹-180G</v>
          </cell>
          <cell r="F301" t="str">
            <v>是</v>
          </cell>
          <cell r="G301" t="str">
            <v>粉色</v>
          </cell>
        </row>
        <row r="302">
          <cell r="D302" t="str">
            <v>M0009194</v>
          </cell>
          <cell r="E302" t="str">
            <v>全棉拉架平纹-180G</v>
          </cell>
          <cell r="F302" t="str">
            <v>否</v>
          </cell>
          <cell r="G302" t="str">
            <v>青绿</v>
          </cell>
        </row>
        <row r="303">
          <cell r="D303" t="str">
            <v>M0009194</v>
          </cell>
          <cell r="E303" t="str">
            <v>全棉拉架平纹-180G</v>
          </cell>
          <cell r="F303" t="str">
            <v>否</v>
          </cell>
          <cell r="G303" t="str">
            <v>青绿</v>
          </cell>
        </row>
        <row r="304">
          <cell r="D304" t="str">
            <v>M0060327</v>
          </cell>
          <cell r="E304" t="str">
            <v>全棉拉架平纹-180G</v>
          </cell>
          <cell r="F304" t="str">
            <v>是</v>
          </cell>
          <cell r="G304" t="str">
            <v>蓝灰色</v>
          </cell>
        </row>
        <row r="305">
          <cell r="D305" t="str">
            <v>M0100216</v>
          </cell>
          <cell r="E305" t="str">
            <v>棉涤卫衣（无拉架）-280G</v>
          </cell>
          <cell r="F305" t="str">
            <v>否</v>
          </cell>
          <cell r="G305" t="str">
            <v>深蓝色</v>
          </cell>
        </row>
        <row r="306">
          <cell r="D306" t="str">
            <v>M0100210</v>
          </cell>
          <cell r="E306" t="str">
            <v>全棉拉架罗纹-290G</v>
          </cell>
          <cell r="F306" t="str">
            <v>否</v>
          </cell>
          <cell r="G306" t="str">
            <v>深蓝色</v>
          </cell>
        </row>
        <row r="307">
          <cell r="D307" t="str">
            <v>M0085825</v>
          </cell>
          <cell r="E307" t="str">
            <v>棉涤卫衣（无拉架）-280G</v>
          </cell>
          <cell r="F307" t="str">
            <v>否</v>
          </cell>
          <cell r="G307" t="str">
            <v>粉色</v>
          </cell>
        </row>
        <row r="308">
          <cell r="D308" t="str">
            <v>M0100211</v>
          </cell>
          <cell r="E308" t="str">
            <v>全棉拉架罗纹-290G</v>
          </cell>
          <cell r="F308" t="str">
            <v>否</v>
          </cell>
          <cell r="G308" t="str">
            <v>粉色</v>
          </cell>
        </row>
        <row r="309">
          <cell r="D309" t="str">
            <v>M0100215</v>
          </cell>
          <cell r="E309" t="str">
            <v>棉涤卫衣（无拉架）-280G</v>
          </cell>
          <cell r="F309" t="str">
            <v>否</v>
          </cell>
          <cell r="G309" t="str">
            <v>卡其色</v>
          </cell>
        </row>
        <row r="310">
          <cell r="D310" t="str">
            <v>M0100213</v>
          </cell>
          <cell r="E310" t="str">
            <v>全棉拉架罗纹-290G</v>
          </cell>
          <cell r="F310" t="str">
            <v>否</v>
          </cell>
          <cell r="G310" t="str">
            <v>卡其色</v>
          </cell>
        </row>
        <row r="311">
          <cell r="D311" t="str">
            <v>M0100214</v>
          </cell>
          <cell r="E311" t="str">
            <v>棉涤卫衣（无拉架）-280G</v>
          </cell>
          <cell r="F311" t="str">
            <v>否</v>
          </cell>
          <cell r="G311" t="str">
            <v>灰色</v>
          </cell>
        </row>
        <row r="312">
          <cell r="D312" t="str">
            <v>M0100212</v>
          </cell>
          <cell r="E312" t="str">
            <v>全棉拉架罗纹-290G</v>
          </cell>
          <cell r="F312" t="str">
            <v>否</v>
          </cell>
          <cell r="G312" t="str">
            <v>红+灰</v>
          </cell>
        </row>
        <row r="313">
          <cell r="D313" t="str">
            <v>M0100202</v>
          </cell>
          <cell r="E313" t="str">
            <v>棉1*1拉架罗纹-210G</v>
          </cell>
          <cell r="F313" t="str">
            <v>否</v>
          </cell>
          <cell r="G313" t="str">
            <v>咖啡色</v>
          </cell>
        </row>
        <row r="314">
          <cell r="D314" t="str">
            <v>M0100162</v>
          </cell>
          <cell r="E314" t="str">
            <v>棉涤卫衣-280G</v>
          </cell>
          <cell r="F314" t="str">
            <v>否</v>
          </cell>
          <cell r="G314" t="str">
            <v>黄褐色</v>
          </cell>
        </row>
        <row r="315">
          <cell r="D315" t="str">
            <v>M0100217</v>
          </cell>
          <cell r="E315" t="str">
            <v>棉涤卫衣（无拉架）-280G</v>
          </cell>
          <cell r="F315" t="str">
            <v>否</v>
          </cell>
          <cell r="G315" t="str">
            <v>蓝色</v>
          </cell>
        </row>
        <row r="316">
          <cell r="D316" t="str">
            <v>M0100209</v>
          </cell>
          <cell r="E316" t="str">
            <v>全棉拉架罗纹-290G</v>
          </cell>
          <cell r="F316" t="str">
            <v>否</v>
          </cell>
          <cell r="G316" t="str">
            <v>蓝色</v>
          </cell>
        </row>
        <row r="317">
          <cell r="D317" t="str">
            <v>M0100200</v>
          </cell>
          <cell r="E317" t="str">
            <v>棉涤卫衣-280G</v>
          </cell>
          <cell r="F317" t="str">
            <v>否</v>
          </cell>
          <cell r="G317" t="str">
            <v>藏青</v>
          </cell>
        </row>
        <row r="318">
          <cell r="D318" t="str">
            <v>M0100201</v>
          </cell>
          <cell r="E318" t="str">
            <v>棉涤卫衣-280G</v>
          </cell>
          <cell r="F318" t="str">
            <v>否</v>
          </cell>
          <cell r="G318" t="str">
            <v>淡黄</v>
          </cell>
        </row>
        <row r="319">
          <cell r="D319" t="str">
            <v>M0077673</v>
          </cell>
          <cell r="E319" t="str">
            <v>棉涤卫衣-280G</v>
          </cell>
          <cell r="F319" t="str">
            <v>否</v>
          </cell>
          <cell r="G319" t="str">
            <v>白花灰</v>
          </cell>
        </row>
        <row r="320">
          <cell r="D320" t="str">
            <v>M0004000</v>
          </cell>
          <cell r="E320" t="str">
            <v>200G仿棉拉架平纹（印花底布专用）</v>
          </cell>
          <cell r="F320" t="str">
            <v>是</v>
          </cell>
          <cell r="G320" t="str">
            <v>本白色</v>
          </cell>
        </row>
        <row r="321">
          <cell r="D321" t="str">
            <v>M00xt21001040144</v>
          </cell>
          <cell r="E321" t="str">
            <v>仿棉拉架平纹-200G（阻燃）</v>
          </cell>
          <cell r="F321" t="str">
            <v>是</v>
          </cell>
          <cell r="G321" t="str">
            <v>大白</v>
          </cell>
        </row>
        <row r="322">
          <cell r="D322" t="str">
            <v>M0094272</v>
          </cell>
          <cell r="E322" t="str">
            <v>全棉拉架平纹-180G</v>
          </cell>
          <cell r="F322" t="str">
            <v>否</v>
          </cell>
          <cell r="G322" t="str">
            <v>深灰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0"/>
  <sheetViews>
    <sheetView tabSelected="1" workbookViewId="0">
      <pane ySplit="1" topLeftCell="A3" activePane="bottomLeft" state="frozen"/>
      <selection/>
      <selection pane="bottomLeft" activeCell="G149" sqref="G149:H149"/>
    </sheetView>
  </sheetViews>
  <sheetFormatPr defaultColWidth="9" defaultRowHeight="13.5"/>
  <cols>
    <col min="1" max="1" width="13" customWidth="1"/>
    <col min="2" max="2" width="17.125" customWidth="1"/>
    <col min="3" max="3" width="23.375" customWidth="1"/>
    <col min="4" max="4" width="31.125" customWidth="1"/>
    <col min="5" max="6" width="13" customWidth="1"/>
    <col min="7" max="7" width="9.375" customWidth="1"/>
    <col min="8" max="8" width="13" customWidth="1"/>
    <col min="9" max="9" width="12.875" customWidth="1"/>
    <col min="10" max="12" width="1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</row>
    <row r="2" ht="27" spans="1:13">
      <c r="A2" s="2">
        <v>1</v>
      </c>
      <c r="B2" s="2" t="s">
        <v>11</v>
      </c>
      <c r="C2" s="2" t="s">
        <v>12</v>
      </c>
      <c r="D2" s="2"/>
      <c r="E2" s="2">
        <v>13</v>
      </c>
      <c r="F2" s="2" t="s">
        <v>13</v>
      </c>
      <c r="G2" s="2">
        <f t="shared" ref="G2:G65" si="0">E2+H2</f>
        <v>13</v>
      </c>
      <c r="H2" s="2">
        <v>0</v>
      </c>
      <c r="I2" s="2">
        <v>13</v>
      </c>
      <c r="J2" s="2" t="s">
        <v>14</v>
      </c>
      <c r="K2" s="2" t="s">
        <v>15</v>
      </c>
      <c r="L2" s="2">
        <v>1</v>
      </c>
      <c r="M2" t="e">
        <f>VLOOKUP(B2,[1]报销单!$D:$G,4,0)</f>
        <v>#N/A</v>
      </c>
    </row>
    <row r="3" ht="27" spans="1:13">
      <c r="A3" s="2">
        <v>1</v>
      </c>
      <c r="B3" s="2" t="s">
        <v>16</v>
      </c>
      <c r="C3" s="2" t="s">
        <v>12</v>
      </c>
      <c r="D3" s="2"/>
      <c r="E3" s="2">
        <v>13</v>
      </c>
      <c r="F3" s="2" t="s">
        <v>17</v>
      </c>
      <c r="G3" s="2">
        <f t="shared" si="0"/>
        <v>13</v>
      </c>
      <c r="H3" s="2">
        <v>0</v>
      </c>
      <c r="I3" s="2">
        <v>13</v>
      </c>
      <c r="J3" s="2" t="s">
        <v>14</v>
      </c>
      <c r="K3" s="2" t="s">
        <v>15</v>
      </c>
      <c r="L3" s="2">
        <v>1</v>
      </c>
      <c r="M3" t="e">
        <f>VLOOKUP(B3,[1]报销单!$D:$G,4,0)</f>
        <v>#N/A</v>
      </c>
    </row>
    <row r="4" ht="27" spans="1:13">
      <c r="A4" s="2">
        <v>1</v>
      </c>
      <c r="B4" s="2" t="s">
        <v>18</v>
      </c>
      <c r="C4" s="2" t="s">
        <v>12</v>
      </c>
      <c r="D4" s="2"/>
      <c r="E4" s="2">
        <v>13</v>
      </c>
      <c r="F4" s="2" t="s">
        <v>19</v>
      </c>
      <c r="G4" s="2">
        <f t="shared" si="0"/>
        <v>13</v>
      </c>
      <c r="H4" s="2">
        <v>0</v>
      </c>
      <c r="I4" s="2">
        <v>13</v>
      </c>
      <c r="J4" s="2" t="s">
        <v>14</v>
      </c>
      <c r="K4" s="2" t="s">
        <v>15</v>
      </c>
      <c r="L4" s="2">
        <v>1</v>
      </c>
      <c r="M4" t="e">
        <f>VLOOKUP(B4,[1]报销单!$D:$G,4,0)</f>
        <v>#N/A</v>
      </c>
    </row>
    <row r="5" ht="27" spans="1:13">
      <c r="A5" s="2">
        <v>1</v>
      </c>
      <c r="B5" s="2" t="s">
        <v>20</v>
      </c>
      <c r="C5" s="2" t="s">
        <v>12</v>
      </c>
      <c r="D5" s="2"/>
      <c r="E5" s="2">
        <v>13</v>
      </c>
      <c r="F5" s="2" t="s">
        <v>21</v>
      </c>
      <c r="G5" s="2">
        <f t="shared" si="0"/>
        <v>13</v>
      </c>
      <c r="H5" s="2">
        <v>0</v>
      </c>
      <c r="I5" s="2">
        <v>13</v>
      </c>
      <c r="J5" s="2" t="s">
        <v>14</v>
      </c>
      <c r="K5" s="2" t="s">
        <v>15</v>
      </c>
      <c r="L5" s="2">
        <v>1</v>
      </c>
      <c r="M5" t="e">
        <f>VLOOKUP(B5,[1]报销单!$D:$G,4,0)</f>
        <v>#N/A</v>
      </c>
    </row>
    <row r="6" ht="27" spans="1:13">
      <c r="A6" s="2">
        <v>1</v>
      </c>
      <c r="B6" s="2" t="s">
        <v>22</v>
      </c>
      <c r="C6" s="2" t="s">
        <v>12</v>
      </c>
      <c r="D6" s="2"/>
      <c r="E6" s="2">
        <v>13</v>
      </c>
      <c r="F6" s="2" t="s">
        <v>23</v>
      </c>
      <c r="G6" s="2">
        <f t="shared" si="0"/>
        <v>13</v>
      </c>
      <c r="H6" s="2">
        <v>0</v>
      </c>
      <c r="I6" s="2">
        <v>13</v>
      </c>
      <c r="J6" s="2" t="s">
        <v>14</v>
      </c>
      <c r="K6" s="2" t="s">
        <v>15</v>
      </c>
      <c r="L6" s="2">
        <v>1</v>
      </c>
      <c r="M6" t="e">
        <f>VLOOKUP(B6,[1]报销单!$D:$G,4,0)</f>
        <v>#N/A</v>
      </c>
    </row>
    <row r="7" ht="27" spans="1:13">
      <c r="A7" s="2">
        <v>1</v>
      </c>
      <c r="B7" s="2" t="s">
        <v>24</v>
      </c>
      <c r="C7" s="2" t="s">
        <v>12</v>
      </c>
      <c r="D7" s="2"/>
      <c r="E7" s="2">
        <v>13</v>
      </c>
      <c r="F7" s="2" t="s">
        <v>25</v>
      </c>
      <c r="G7" s="2">
        <f t="shared" si="0"/>
        <v>13</v>
      </c>
      <c r="H7" s="2">
        <v>0</v>
      </c>
      <c r="I7" s="2">
        <v>13</v>
      </c>
      <c r="J7" s="2" t="s">
        <v>14</v>
      </c>
      <c r="K7" s="2" t="s">
        <v>15</v>
      </c>
      <c r="L7" s="2">
        <v>1</v>
      </c>
      <c r="M7" t="e">
        <f>VLOOKUP(B7,[1]报销单!$D:$G,4,0)</f>
        <v>#N/A</v>
      </c>
    </row>
    <row r="8" ht="27" spans="1:13">
      <c r="A8" s="2">
        <v>1</v>
      </c>
      <c r="B8" s="2" t="s">
        <v>26</v>
      </c>
      <c r="C8" s="2" t="s">
        <v>12</v>
      </c>
      <c r="D8" s="2"/>
      <c r="E8" s="2">
        <v>13</v>
      </c>
      <c r="F8" s="2" t="s">
        <v>27</v>
      </c>
      <c r="G8" s="2">
        <f t="shared" si="0"/>
        <v>13</v>
      </c>
      <c r="H8" s="2">
        <v>0</v>
      </c>
      <c r="I8" s="2">
        <v>13</v>
      </c>
      <c r="J8" s="2" t="s">
        <v>14</v>
      </c>
      <c r="K8" s="2" t="s">
        <v>15</v>
      </c>
      <c r="L8" s="2">
        <v>1</v>
      </c>
      <c r="M8" t="e">
        <f>VLOOKUP(B8,[1]报销单!$D:$G,4,0)</f>
        <v>#N/A</v>
      </c>
    </row>
    <row r="9" ht="27" spans="1:13">
      <c r="A9" s="2">
        <v>1</v>
      </c>
      <c r="B9" s="2" t="s">
        <v>28</v>
      </c>
      <c r="C9" s="2" t="s">
        <v>12</v>
      </c>
      <c r="D9" s="2"/>
      <c r="E9" s="2">
        <v>13</v>
      </c>
      <c r="F9" s="2" t="s">
        <v>29</v>
      </c>
      <c r="G9" s="2">
        <f t="shared" si="0"/>
        <v>13</v>
      </c>
      <c r="H9" s="2">
        <v>0</v>
      </c>
      <c r="I9" s="2">
        <v>13</v>
      </c>
      <c r="J9" s="2" t="s">
        <v>14</v>
      </c>
      <c r="K9" s="2" t="s">
        <v>15</v>
      </c>
      <c r="L9" s="2">
        <v>1</v>
      </c>
      <c r="M9" t="e">
        <f>VLOOKUP(B9,[1]报销单!$D:$G,4,0)</f>
        <v>#N/A</v>
      </c>
    </row>
    <row r="10" ht="40.5" spans="1:13">
      <c r="A10" s="2">
        <v>2</v>
      </c>
      <c r="B10" s="2" t="s">
        <v>30</v>
      </c>
      <c r="C10" s="2" t="s">
        <v>12</v>
      </c>
      <c r="D10" s="2"/>
      <c r="E10" s="2">
        <v>13</v>
      </c>
      <c r="F10" s="2" t="s">
        <v>31</v>
      </c>
      <c r="G10" s="2">
        <f t="shared" si="0"/>
        <v>13</v>
      </c>
      <c r="H10" s="2">
        <v>0</v>
      </c>
      <c r="I10" s="2">
        <v>13</v>
      </c>
      <c r="J10" s="2" t="s">
        <v>14</v>
      </c>
      <c r="K10" s="2" t="s">
        <v>32</v>
      </c>
      <c r="L10" s="2">
        <v>2</v>
      </c>
      <c r="M10" t="e">
        <f>VLOOKUP(B10,[1]报销单!$D:$G,4,0)</f>
        <v>#N/A</v>
      </c>
    </row>
    <row r="11" ht="40.5" spans="1:13">
      <c r="A11" s="2">
        <v>2</v>
      </c>
      <c r="B11" s="2" t="s">
        <v>33</v>
      </c>
      <c r="C11" s="2" t="s">
        <v>12</v>
      </c>
      <c r="D11" s="2"/>
      <c r="E11" s="2">
        <v>13</v>
      </c>
      <c r="F11" s="2" t="s">
        <v>34</v>
      </c>
      <c r="G11" s="2">
        <f t="shared" si="0"/>
        <v>13</v>
      </c>
      <c r="H11" s="2">
        <v>0</v>
      </c>
      <c r="I11" s="2">
        <v>13</v>
      </c>
      <c r="J11" s="2" t="s">
        <v>14</v>
      </c>
      <c r="K11" s="2" t="s">
        <v>32</v>
      </c>
      <c r="L11" s="2">
        <v>2</v>
      </c>
      <c r="M11" t="e">
        <f>VLOOKUP(B11,[1]报销单!$D:$G,4,0)</f>
        <v>#N/A</v>
      </c>
    </row>
    <row r="12" ht="40.5" spans="1:13">
      <c r="A12" s="2">
        <v>2</v>
      </c>
      <c r="B12" s="2" t="s">
        <v>35</v>
      </c>
      <c r="C12" s="2" t="s">
        <v>12</v>
      </c>
      <c r="D12" s="2"/>
      <c r="E12" s="2">
        <v>13</v>
      </c>
      <c r="F12" s="2" t="s">
        <v>36</v>
      </c>
      <c r="G12" s="2">
        <f t="shared" si="0"/>
        <v>13</v>
      </c>
      <c r="H12" s="2">
        <v>0</v>
      </c>
      <c r="I12" s="2">
        <v>13</v>
      </c>
      <c r="J12" s="2" t="s">
        <v>14</v>
      </c>
      <c r="K12" s="2" t="s">
        <v>32</v>
      </c>
      <c r="L12" s="2">
        <v>2</v>
      </c>
      <c r="M12" t="e">
        <f>VLOOKUP(B12,[1]报销单!$D:$G,4,0)</f>
        <v>#N/A</v>
      </c>
    </row>
    <row r="13" ht="40.5" spans="1:13">
      <c r="A13" s="2">
        <v>2</v>
      </c>
      <c r="B13" s="2" t="s">
        <v>37</v>
      </c>
      <c r="C13" s="2" t="s">
        <v>12</v>
      </c>
      <c r="D13" s="2"/>
      <c r="E13" s="2">
        <v>26</v>
      </c>
      <c r="F13" s="2" t="s">
        <v>38</v>
      </c>
      <c r="G13" s="2">
        <f t="shared" si="0"/>
        <v>26</v>
      </c>
      <c r="H13" s="2">
        <v>0</v>
      </c>
      <c r="I13" s="2">
        <v>26</v>
      </c>
      <c r="J13" s="2" t="s">
        <v>14</v>
      </c>
      <c r="K13" s="2" t="s">
        <v>32</v>
      </c>
      <c r="L13" s="2">
        <v>2</v>
      </c>
      <c r="M13" t="e">
        <f>VLOOKUP(B13,[1]报销单!$D:$G,4,0)</f>
        <v>#N/A</v>
      </c>
    </row>
    <row r="14" ht="40.5" spans="1:13">
      <c r="A14" s="2">
        <v>2</v>
      </c>
      <c r="B14" s="2" t="s">
        <v>39</v>
      </c>
      <c r="C14" s="2" t="s">
        <v>12</v>
      </c>
      <c r="D14" s="2"/>
      <c r="E14" s="2">
        <v>13</v>
      </c>
      <c r="F14" s="2" t="s">
        <v>40</v>
      </c>
      <c r="G14" s="2">
        <f t="shared" si="0"/>
        <v>13</v>
      </c>
      <c r="H14" s="2">
        <v>0</v>
      </c>
      <c r="I14" s="2">
        <v>13</v>
      </c>
      <c r="J14" s="2" t="s">
        <v>14</v>
      </c>
      <c r="K14" s="2" t="s">
        <v>32</v>
      </c>
      <c r="L14" s="2">
        <v>2</v>
      </c>
      <c r="M14" t="e">
        <f>VLOOKUP(B14,[1]报销单!$D:$G,4,0)</f>
        <v>#N/A</v>
      </c>
    </row>
    <row r="15" ht="40.5" spans="1:13">
      <c r="A15" s="2">
        <v>2</v>
      </c>
      <c r="B15" s="2" t="s">
        <v>41</v>
      </c>
      <c r="C15" s="2" t="s">
        <v>12</v>
      </c>
      <c r="D15" s="2"/>
      <c r="E15" s="2">
        <v>13</v>
      </c>
      <c r="F15" s="2" t="s">
        <v>42</v>
      </c>
      <c r="G15" s="2">
        <f t="shared" si="0"/>
        <v>13</v>
      </c>
      <c r="H15" s="2">
        <v>0</v>
      </c>
      <c r="I15" s="2">
        <v>13</v>
      </c>
      <c r="J15" s="2" t="s">
        <v>14</v>
      </c>
      <c r="K15" s="2" t="s">
        <v>32</v>
      </c>
      <c r="L15" s="2">
        <v>2</v>
      </c>
      <c r="M15" t="e">
        <f>VLOOKUP(B15,[1]报销单!$D:$G,4,0)</f>
        <v>#N/A</v>
      </c>
    </row>
    <row r="16" ht="40.5" spans="1:13">
      <c r="A16" s="2">
        <v>2</v>
      </c>
      <c r="B16" s="2" t="s">
        <v>43</v>
      </c>
      <c r="C16" s="2" t="s">
        <v>12</v>
      </c>
      <c r="D16" s="2"/>
      <c r="E16" s="2">
        <v>13</v>
      </c>
      <c r="F16" s="2" t="s">
        <v>44</v>
      </c>
      <c r="G16" s="2">
        <f t="shared" si="0"/>
        <v>13</v>
      </c>
      <c r="H16" s="2">
        <v>0</v>
      </c>
      <c r="I16" s="2">
        <v>13</v>
      </c>
      <c r="J16" s="2" t="s">
        <v>14</v>
      </c>
      <c r="K16" s="2" t="s">
        <v>32</v>
      </c>
      <c r="L16" s="2">
        <v>2</v>
      </c>
      <c r="M16" t="e">
        <f>VLOOKUP(B16,[1]报销单!$D:$G,4,0)</f>
        <v>#N/A</v>
      </c>
    </row>
    <row r="17" ht="40.5" spans="1:13">
      <c r="A17" s="2">
        <v>2</v>
      </c>
      <c r="B17" s="2" t="s">
        <v>45</v>
      </c>
      <c r="C17" s="2" t="s">
        <v>12</v>
      </c>
      <c r="D17" s="2"/>
      <c r="E17" s="2">
        <v>13</v>
      </c>
      <c r="F17" s="2" t="s">
        <v>46</v>
      </c>
      <c r="G17" s="2">
        <f t="shared" si="0"/>
        <v>13</v>
      </c>
      <c r="H17" s="2">
        <v>0</v>
      </c>
      <c r="I17" s="2">
        <v>13</v>
      </c>
      <c r="J17" s="2" t="s">
        <v>14</v>
      </c>
      <c r="K17" s="2" t="s">
        <v>32</v>
      </c>
      <c r="L17" s="2">
        <v>2</v>
      </c>
      <c r="M17" t="e">
        <f>VLOOKUP(B17,[1]报销单!$D:$G,4,0)</f>
        <v>#N/A</v>
      </c>
    </row>
    <row r="18" ht="40.5" spans="1:13">
      <c r="A18" s="2">
        <v>2</v>
      </c>
      <c r="B18" s="2" t="s">
        <v>47</v>
      </c>
      <c r="C18" s="2" t="s">
        <v>12</v>
      </c>
      <c r="D18" s="2"/>
      <c r="E18" s="2">
        <v>13</v>
      </c>
      <c r="F18" s="2" t="s">
        <v>48</v>
      </c>
      <c r="G18" s="2">
        <f t="shared" si="0"/>
        <v>13</v>
      </c>
      <c r="H18" s="2">
        <v>0</v>
      </c>
      <c r="I18" s="2">
        <v>13</v>
      </c>
      <c r="J18" s="2" t="s">
        <v>14</v>
      </c>
      <c r="K18" s="2" t="s">
        <v>32</v>
      </c>
      <c r="L18" s="2">
        <v>2</v>
      </c>
      <c r="M18" t="e">
        <f>VLOOKUP(B18,[1]报销单!$D:$G,4,0)</f>
        <v>#N/A</v>
      </c>
    </row>
    <row r="19" ht="40.5" spans="1:13">
      <c r="A19" s="2">
        <v>2</v>
      </c>
      <c r="B19" s="2" t="s">
        <v>49</v>
      </c>
      <c r="C19" s="2" t="s">
        <v>12</v>
      </c>
      <c r="D19" s="2"/>
      <c r="E19" s="2">
        <v>13</v>
      </c>
      <c r="F19" s="2" t="s">
        <v>50</v>
      </c>
      <c r="G19" s="2">
        <f t="shared" si="0"/>
        <v>13</v>
      </c>
      <c r="H19" s="2">
        <v>0</v>
      </c>
      <c r="I19" s="2">
        <v>13</v>
      </c>
      <c r="J19" s="2" t="s">
        <v>14</v>
      </c>
      <c r="K19" s="2" t="s">
        <v>32</v>
      </c>
      <c r="L19" s="2">
        <v>2</v>
      </c>
      <c r="M19" t="e">
        <f>VLOOKUP(B19,[1]报销单!$D:$G,4,0)</f>
        <v>#N/A</v>
      </c>
    </row>
    <row r="20" ht="40.5" spans="1:13">
      <c r="A20" s="2">
        <v>2</v>
      </c>
      <c r="B20" s="2" t="s">
        <v>51</v>
      </c>
      <c r="C20" s="2" t="s">
        <v>12</v>
      </c>
      <c r="D20" s="2"/>
      <c r="E20" s="2">
        <v>13</v>
      </c>
      <c r="F20" s="2" t="s">
        <v>52</v>
      </c>
      <c r="G20" s="2">
        <f t="shared" si="0"/>
        <v>13</v>
      </c>
      <c r="H20" s="2">
        <v>0</v>
      </c>
      <c r="I20" s="2">
        <v>13</v>
      </c>
      <c r="J20" s="2" t="s">
        <v>14</v>
      </c>
      <c r="K20" s="2" t="s">
        <v>32</v>
      </c>
      <c r="L20" s="2">
        <v>2</v>
      </c>
      <c r="M20" t="e">
        <f>VLOOKUP(B20,[1]报销单!$D:$G,4,0)</f>
        <v>#N/A</v>
      </c>
    </row>
    <row r="21" ht="40.5" spans="1:13">
      <c r="A21" s="2">
        <v>2</v>
      </c>
      <c r="B21" s="2" t="s">
        <v>53</v>
      </c>
      <c r="C21" s="2" t="s">
        <v>12</v>
      </c>
      <c r="D21" s="2"/>
      <c r="E21" s="2">
        <v>13</v>
      </c>
      <c r="F21" s="2" t="s">
        <v>54</v>
      </c>
      <c r="G21" s="2">
        <f t="shared" si="0"/>
        <v>13</v>
      </c>
      <c r="H21" s="2">
        <v>0</v>
      </c>
      <c r="I21" s="2">
        <v>13</v>
      </c>
      <c r="J21" s="2" t="s">
        <v>14</v>
      </c>
      <c r="K21" s="2" t="s">
        <v>32</v>
      </c>
      <c r="L21" s="2">
        <v>2</v>
      </c>
      <c r="M21" t="e">
        <f>VLOOKUP(B21,[1]报销单!$D:$G,4,0)</f>
        <v>#N/A</v>
      </c>
    </row>
    <row r="22" ht="40.5" spans="1:13">
      <c r="A22" s="2">
        <v>2</v>
      </c>
      <c r="B22" s="2" t="s">
        <v>55</v>
      </c>
      <c r="C22" s="2" t="s">
        <v>12</v>
      </c>
      <c r="D22" s="2"/>
      <c r="E22" s="2">
        <v>13</v>
      </c>
      <c r="F22" s="2" t="s">
        <v>56</v>
      </c>
      <c r="G22" s="2">
        <f t="shared" si="0"/>
        <v>13</v>
      </c>
      <c r="H22" s="2">
        <v>0</v>
      </c>
      <c r="I22" s="2">
        <v>13</v>
      </c>
      <c r="J22" s="2" t="s">
        <v>14</v>
      </c>
      <c r="K22" s="2" t="s">
        <v>32</v>
      </c>
      <c r="L22" s="2">
        <v>2</v>
      </c>
      <c r="M22" t="e">
        <f>VLOOKUP(B22,[1]报销单!$D:$G,4,0)</f>
        <v>#N/A</v>
      </c>
    </row>
    <row r="23" ht="27" spans="1:13">
      <c r="A23" s="2">
        <v>3</v>
      </c>
      <c r="B23" s="2" t="s">
        <v>57</v>
      </c>
      <c r="C23" s="2" t="s">
        <v>12</v>
      </c>
      <c r="D23" s="2"/>
      <c r="E23" s="2">
        <v>13</v>
      </c>
      <c r="F23" s="2" t="s">
        <v>58</v>
      </c>
      <c r="G23" s="2">
        <f t="shared" si="0"/>
        <v>13</v>
      </c>
      <c r="H23" s="2">
        <v>0</v>
      </c>
      <c r="I23" s="2">
        <v>13</v>
      </c>
      <c r="J23" s="2" t="s">
        <v>14</v>
      </c>
      <c r="K23" s="2" t="s">
        <v>59</v>
      </c>
      <c r="L23" s="2">
        <v>3</v>
      </c>
      <c r="M23" t="e">
        <f>VLOOKUP(B23,[1]报销单!$D:$G,4,0)</f>
        <v>#N/A</v>
      </c>
    </row>
    <row r="24" ht="40.5" spans="1:13">
      <c r="A24" s="2">
        <v>3</v>
      </c>
      <c r="B24" s="2" t="s">
        <v>60</v>
      </c>
      <c r="C24" s="2" t="s">
        <v>12</v>
      </c>
      <c r="D24" s="2"/>
      <c r="E24" s="2">
        <v>13</v>
      </c>
      <c r="F24" s="2" t="s">
        <v>61</v>
      </c>
      <c r="G24" s="2">
        <f t="shared" si="0"/>
        <v>13</v>
      </c>
      <c r="H24" s="2">
        <v>0</v>
      </c>
      <c r="I24" s="2">
        <v>13</v>
      </c>
      <c r="J24" s="2" t="s">
        <v>14</v>
      </c>
      <c r="K24" s="2" t="s">
        <v>62</v>
      </c>
      <c r="L24" s="2">
        <v>3</v>
      </c>
      <c r="M24" t="e">
        <f>VLOOKUP(B24,[1]报销单!$D:$G,4,0)</f>
        <v>#N/A</v>
      </c>
    </row>
    <row r="25" ht="27" spans="1:13">
      <c r="A25" s="2">
        <v>3</v>
      </c>
      <c r="B25" s="2" t="s">
        <v>63</v>
      </c>
      <c r="C25" s="2" t="s">
        <v>12</v>
      </c>
      <c r="D25" s="2"/>
      <c r="E25" s="2">
        <v>13</v>
      </c>
      <c r="F25" s="2" t="s">
        <v>64</v>
      </c>
      <c r="G25" s="2">
        <f t="shared" si="0"/>
        <v>13</v>
      </c>
      <c r="H25" s="2">
        <v>0</v>
      </c>
      <c r="I25" s="2">
        <v>13</v>
      </c>
      <c r="J25" s="2" t="s">
        <v>14</v>
      </c>
      <c r="K25" s="2" t="s">
        <v>59</v>
      </c>
      <c r="L25" s="2">
        <v>3</v>
      </c>
      <c r="M25" t="e">
        <f>VLOOKUP(B25,[1]报销单!$D:$G,4,0)</f>
        <v>#N/A</v>
      </c>
    </row>
    <row r="26" ht="40.5" spans="1:13">
      <c r="A26" s="2">
        <v>3</v>
      </c>
      <c r="B26" s="2" t="s">
        <v>65</v>
      </c>
      <c r="C26" s="2" t="s">
        <v>12</v>
      </c>
      <c r="D26" s="2"/>
      <c r="E26" s="2">
        <v>13</v>
      </c>
      <c r="F26" s="2" t="s">
        <v>66</v>
      </c>
      <c r="G26" s="2">
        <f t="shared" si="0"/>
        <v>13</v>
      </c>
      <c r="H26" s="2">
        <v>0</v>
      </c>
      <c r="I26" s="2">
        <v>13</v>
      </c>
      <c r="J26" s="2" t="s">
        <v>14</v>
      </c>
      <c r="K26" s="2" t="s">
        <v>62</v>
      </c>
      <c r="L26" s="2">
        <v>3</v>
      </c>
      <c r="M26" t="e">
        <f>VLOOKUP(B26,[1]报销单!$D:$G,4,0)</f>
        <v>#N/A</v>
      </c>
    </row>
    <row r="27" ht="27" spans="1:13">
      <c r="A27" s="2">
        <v>3</v>
      </c>
      <c r="B27" s="2" t="s">
        <v>67</v>
      </c>
      <c r="C27" s="2" t="s">
        <v>12</v>
      </c>
      <c r="D27" s="2"/>
      <c r="E27" s="2">
        <v>26</v>
      </c>
      <c r="F27" s="2" t="s">
        <v>68</v>
      </c>
      <c r="G27" s="2">
        <f t="shared" si="0"/>
        <v>26</v>
      </c>
      <c r="H27" s="2">
        <v>0</v>
      </c>
      <c r="I27" s="2">
        <v>26</v>
      </c>
      <c r="J27" s="2" t="s">
        <v>14</v>
      </c>
      <c r="K27" s="2" t="s">
        <v>59</v>
      </c>
      <c r="L27" s="2">
        <v>3</v>
      </c>
      <c r="M27" t="e">
        <f>VLOOKUP(B27,[1]报销单!$D:$G,4,0)</f>
        <v>#N/A</v>
      </c>
    </row>
    <row r="28" ht="27" spans="1:13">
      <c r="A28" s="2">
        <v>3</v>
      </c>
      <c r="B28" s="2" t="s">
        <v>69</v>
      </c>
      <c r="C28" s="2" t="s">
        <v>12</v>
      </c>
      <c r="D28" s="2"/>
      <c r="E28" s="2">
        <v>13</v>
      </c>
      <c r="F28" s="2" t="s">
        <v>70</v>
      </c>
      <c r="G28" s="2">
        <f t="shared" si="0"/>
        <v>13</v>
      </c>
      <c r="H28" s="2">
        <v>0</v>
      </c>
      <c r="I28" s="2">
        <v>13</v>
      </c>
      <c r="J28" s="2" t="s">
        <v>14</v>
      </c>
      <c r="K28" s="2" t="s">
        <v>59</v>
      </c>
      <c r="L28" s="2">
        <v>3</v>
      </c>
      <c r="M28" t="e">
        <f>VLOOKUP(B28,[1]报销单!$D:$G,4,0)</f>
        <v>#N/A</v>
      </c>
    </row>
    <row r="29" ht="27" spans="1:13">
      <c r="A29" s="2">
        <v>3</v>
      </c>
      <c r="B29" s="2" t="s">
        <v>71</v>
      </c>
      <c r="C29" s="2" t="s">
        <v>12</v>
      </c>
      <c r="D29" s="2"/>
      <c r="E29" s="2">
        <v>26</v>
      </c>
      <c r="F29" s="2" t="s">
        <v>72</v>
      </c>
      <c r="G29" s="2">
        <f t="shared" si="0"/>
        <v>26</v>
      </c>
      <c r="H29" s="2">
        <v>0</v>
      </c>
      <c r="I29" s="2">
        <v>26</v>
      </c>
      <c r="J29" s="2" t="s">
        <v>14</v>
      </c>
      <c r="K29" s="2" t="s">
        <v>59</v>
      </c>
      <c r="L29" s="2">
        <v>3</v>
      </c>
      <c r="M29" t="e">
        <f>VLOOKUP(B29,[1]报销单!$D:$G,4,0)</f>
        <v>#N/A</v>
      </c>
    </row>
    <row r="30" ht="27" spans="1:13">
      <c r="A30" s="2">
        <v>3</v>
      </c>
      <c r="B30" s="2" t="s">
        <v>73</v>
      </c>
      <c r="C30" s="2" t="s">
        <v>12</v>
      </c>
      <c r="D30" s="2"/>
      <c r="E30" s="2">
        <v>26</v>
      </c>
      <c r="F30" s="2" t="s">
        <v>74</v>
      </c>
      <c r="G30" s="2">
        <f t="shared" si="0"/>
        <v>26</v>
      </c>
      <c r="H30" s="2">
        <v>0</v>
      </c>
      <c r="I30" s="2">
        <v>26</v>
      </c>
      <c r="J30" s="2" t="s">
        <v>14</v>
      </c>
      <c r="K30" s="2" t="s">
        <v>59</v>
      </c>
      <c r="L30" s="2">
        <v>3</v>
      </c>
      <c r="M30" t="e">
        <f>VLOOKUP(B30,[1]报销单!$D:$G,4,0)</f>
        <v>#N/A</v>
      </c>
    </row>
    <row r="31" ht="27" spans="1:13">
      <c r="A31" s="2">
        <v>3</v>
      </c>
      <c r="B31" s="2" t="s">
        <v>75</v>
      </c>
      <c r="C31" s="2" t="s">
        <v>12</v>
      </c>
      <c r="D31" s="2"/>
      <c r="E31" s="2">
        <v>26</v>
      </c>
      <c r="F31" s="2" t="s">
        <v>76</v>
      </c>
      <c r="G31" s="2">
        <f t="shared" si="0"/>
        <v>26</v>
      </c>
      <c r="H31" s="2">
        <v>0</v>
      </c>
      <c r="I31" s="2">
        <v>26</v>
      </c>
      <c r="J31" s="2" t="s">
        <v>14</v>
      </c>
      <c r="K31" s="2" t="s">
        <v>59</v>
      </c>
      <c r="L31" s="2">
        <v>3</v>
      </c>
      <c r="M31" t="e">
        <f>VLOOKUP(B31,[1]报销单!$D:$G,4,0)</f>
        <v>#N/A</v>
      </c>
    </row>
    <row r="32" ht="40.5" spans="1:13">
      <c r="A32" s="2">
        <v>3</v>
      </c>
      <c r="B32" s="2" t="s">
        <v>77</v>
      </c>
      <c r="C32" s="2" t="s">
        <v>12</v>
      </c>
      <c r="D32" s="2"/>
      <c r="E32" s="2">
        <v>13</v>
      </c>
      <c r="F32" s="2" t="s">
        <v>78</v>
      </c>
      <c r="G32" s="2">
        <f t="shared" si="0"/>
        <v>13</v>
      </c>
      <c r="H32" s="2">
        <v>0</v>
      </c>
      <c r="I32" s="2">
        <v>13</v>
      </c>
      <c r="J32" s="2" t="s">
        <v>14</v>
      </c>
      <c r="K32" s="2" t="s">
        <v>62</v>
      </c>
      <c r="L32" s="2">
        <v>3</v>
      </c>
      <c r="M32" t="e">
        <f>VLOOKUP(B32,[1]报销单!$D:$G,4,0)</f>
        <v>#N/A</v>
      </c>
    </row>
    <row r="33" ht="27" spans="1:13">
      <c r="A33" s="2">
        <v>3</v>
      </c>
      <c r="B33" s="2" t="s">
        <v>79</v>
      </c>
      <c r="C33" s="2" t="s">
        <v>12</v>
      </c>
      <c r="D33" s="2"/>
      <c r="E33" s="2">
        <v>26</v>
      </c>
      <c r="F33" s="2" t="s">
        <v>80</v>
      </c>
      <c r="G33" s="2">
        <f t="shared" si="0"/>
        <v>26</v>
      </c>
      <c r="H33" s="2">
        <v>0</v>
      </c>
      <c r="I33" s="2">
        <v>26</v>
      </c>
      <c r="J33" s="2" t="s">
        <v>14</v>
      </c>
      <c r="K33" s="2" t="s">
        <v>59</v>
      </c>
      <c r="L33" s="2">
        <v>3</v>
      </c>
      <c r="M33" t="e">
        <f>VLOOKUP(B33,[1]报销单!$D:$G,4,0)</f>
        <v>#N/A</v>
      </c>
    </row>
    <row r="34" ht="40.5" spans="1:13">
      <c r="A34" s="2">
        <v>4</v>
      </c>
      <c r="B34" s="2" t="s">
        <v>81</v>
      </c>
      <c r="C34" s="2" t="s">
        <v>12</v>
      </c>
      <c r="D34" s="2"/>
      <c r="E34" s="2">
        <v>13</v>
      </c>
      <c r="F34" s="2" t="s">
        <v>82</v>
      </c>
      <c r="G34" s="2">
        <f t="shared" si="0"/>
        <v>13</v>
      </c>
      <c r="H34" s="2">
        <v>0</v>
      </c>
      <c r="I34" s="2">
        <v>13</v>
      </c>
      <c r="J34" s="2" t="s">
        <v>14</v>
      </c>
      <c r="K34" s="2" t="s">
        <v>83</v>
      </c>
      <c r="L34" s="2">
        <v>4</v>
      </c>
      <c r="M34" t="e">
        <f>VLOOKUP(B34,[1]报销单!$D:$G,4,0)</f>
        <v>#N/A</v>
      </c>
    </row>
    <row r="35" ht="40.5" spans="1:13">
      <c r="A35" s="2">
        <v>4</v>
      </c>
      <c r="B35" s="2" t="s">
        <v>84</v>
      </c>
      <c r="C35" s="2" t="s">
        <v>12</v>
      </c>
      <c r="D35" s="2"/>
      <c r="E35" s="2">
        <v>13</v>
      </c>
      <c r="F35" s="2" t="s">
        <v>85</v>
      </c>
      <c r="G35" s="2">
        <f t="shared" si="0"/>
        <v>13</v>
      </c>
      <c r="H35" s="2">
        <v>0</v>
      </c>
      <c r="I35" s="2">
        <v>13</v>
      </c>
      <c r="J35" s="2" t="s">
        <v>14</v>
      </c>
      <c r="K35" s="2" t="s">
        <v>83</v>
      </c>
      <c r="L35" s="2">
        <v>4</v>
      </c>
      <c r="M35" t="e">
        <f>VLOOKUP(B35,[1]报销单!$D:$G,4,0)</f>
        <v>#N/A</v>
      </c>
    </row>
    <row r="36" ht="40.5" spans="1:13">
      <c r="A36" s="2">
        <v>4</v>
      </c>
      <c r="B36" s="2" t="s">
        <v>86</v>
      </c>
      <c r="C36" s="2" t="s">
        <v>12</v>
      </c>
      <c r="D36" s="2"/>
      <c r="E36" s="2">
        <v>13</v>
      </c>
      <c r="F36" s="2" t="s">
        <v>87</v>
      </c>
      <c r="G36" s="2">
        <f t="shared" si="0"/>
        <v>13</v>
      </c>
      <c r="H36" s="2">
        <v>0</v>
      </c>
      <c r="I36" s="2">
        <v>13</v>
      </c>
      <c r="J36" s="2" t="s">
        <v>14</v>
      </c>
      <c r="K36" s="2" t="s">
        <v>32</v>
      </c>
      <c r="L36" s="2">
        <v>4</v>
      </c>
      <c r="M36" t="e">
        <f>VLOOKUP(B36,[1]报销单!$D:$G,4,0)</f>
        <v>#N/A</v>
      </c>
    </row>
    <row r="37" ht="40.5" spans="1:13">
      <c r="A37" s="2">
        <v>5</v>
      </c>
      <c r="B37" s="2" t="s">
        <v>88</v>
      </c>
      <c r="C37" s="2" t="s">
        <v>12</v>
      </c>
      <c r="D37" s="2"/>
      <c r="E37" s="2">
        <v>13</v>
      </c>
      <c r="F37" s="2" t="s">
        <v>89</v>
      </c>
      <c r="G37" s="2">
        <f t="shared" si="0"/>
        <v>13</v>
      </c>
      <c r="H37" s="2">
        <v>0</v>
      </c>
      <c r="I37" s="2">
        <v>13</v>
      </c>
      <c r="J37" s="2" t="s">
        <v>14</v>
      </c>
      <c r="K37" s="2" t="s">
        <v>83</v>
      </c>
      <c r="L37" s="2">
        <v>5</v>
      </c>
      <c r="M37" t="e">
        <f>VLOOKUP(B37,[1]报销单!$D:$G,4,0)</f>
        <v>#N/A</v>
      </c>
    </row>
    <row r="38" ht="40.5" spans="1:13">
      <c r="A38" s="2">
        <v>5</v>
      </c>
      <c r="B38" s="2" t="s">
        <v>90</v>
      </c>
      <c r="C38" s="2" t="s">
        <v>12</v>
      </c>
      <c r="D38" s="2"/>
      <c r="E38" s="2">
        <v>13</v>
      </c>
      <c r="F38" s="2" t="s">
        <v>91</v>
      </c>
      <c r="G38" s="2">
        <f t="shared" si="0"/>
        <v>13</v>
      </c>
      <c r="H38" s="2">
        <v>0</v>
      </c>
      <c r="I38" s="2">
        <v>13</v>
      </c>
      <c r="J38" s="2" t="s">
        <v>14</v>
      </c>
      <c r="K38" s="2" t="s">
        <v>83</v>
      </c>
      <c r="L38" s="2">
        <v>5</v>
      </c>
      <c r="M38" t="e">
        <f>VLOOKUP(B38,[1]报销单!$D:$G,4,0)</f>
        <v>#N/A</v>
      </c>
    </row>
    <row r="39" ht="40.5" spans="1:13">
      <c r="A39" s="2">
        <v>6</v>
      </c>
      <c r="B39" s="2" t="s">
        <v>92</v>
      </c>
      <c r="C39" s="2" t="s">
        <v>12</v>
      </c>
      <c r="D39" s="2"/>
      <c r="E39" s="2">
        <v>13</v>
      </c>
      <c r="F39" s="2" t="s">
        <v>93</v>
      </c>
      <c r="G39" s="2">
        <f t="shared" si="0"/>
        <v>13</v>
      </c>
      <c r="H39" s="2">
        <v>0</v>
      </c>
      <c r="I39" s="2">
        <v>13</v>
      </c>
      <c r="J39" s="2" t="s">
        <v>14</v>
      </c>
      <c r="K39" s="2" t="s">
        <v>83</v>
      </c>
      <c r="L39" s="2">
        <v>6</v>
      </c>
      <c r="M39" t="e">
        <f>VLOOKUP(B39,[1]报销单!$D:$G,4,0)</f>
        <v>#N/A</v>
      </c>
    </row>
    <row r="40" ht="40.5" spans="1:13">
      <c r="A40" s="2">
        <v>6</v>
      </c>
      <c r="B40" s="2" t="s">
        <v>94</v>
      </c>
      <c r="C40" s="2" t="s">
        <v>12</v>
      </c>
      <c r="D40" s="2"/>
      <c r="E40" s="2">
        <v>13</v>
      </c>
      <c r="F40" s="2" t="s">
        <v>95</v>
      </c>
      <c r="G40" s="2">
        <f t="shared" si="0"/>
        <v>13</v>
      </c>
      <c r="H40" s="2">
        <v>0</v>
      </c>
      <c r="I40" s="2">
        <v>13</v>
      </c>
      <c r="J40" s="2" t="s">
        <v>14</v>
      </c>
      <c r="K40" s="2" t="s">
        <v>83</v>
      </c>
      <c r="L40" s="2">
        <v>6</v>
      </c>
      <c r="M40" t="e">
        <f>VLOOKUP(B40,[1]报销单!$D:$G,4,0)</f>
        <v>#N/A</v>
      </c>
    </row>
    <row r="41" ht="40.5" spans="1:13">
      <c r="A41" s="2">
        <v>7</v>
      </c>
      <c r="B41" s="2" t="s">
        <v>96</v>
      </c>
      <c r="C41" s="2" t="s">
        <v>12</v>
      </c>
      <c r="D41" s="2"/>
      <c r="E41" s="2">
        <v>13</v>
      </c>
      <c r="F41" s="2" t="s">
        <v>97</v>
      </c>
      <c r="G41" s="2">
        <f t="shared" si="0"/>
        <v>13</v>
      </c>
      <c r="H41" s="2">
        <v>0</v>
      </c>
      <c r="I41" s="2">
        <v>13</v>
      </c>
      <c r="J41" s="2" t="s">
        <v>14</v>
      </c>
      <c r="K41" s="2" t="s">
        <v>32</v>
      </c>
      <c r="L41" s="2">
        <v>7</v>
      </c>
      <c r="M41" t="e">
        <f>VLOOKUP(B41,[1]报销单!$D:$G,4,0)</f>
        <v>#N/A</v>
      </c>
    </row>
    <row r="42" ht="40.5" spans="1:13">
      <c r="A42" s="2">
        <v>7</v>
      </c>
      <c r="B42" s="2" t="s">
        <v>98</v>
      </c>
      <c r="C42" s="2" t="s">
        <v>12</v>
      </c>
      <c r="D42" s="2"/>
      <c r="E42" s="2">
        <v>13</v>
      </c>
      <c r="F42" s="2" t="s">
        <v>99</v>
      </c>
      <c r="G42" s="2">
        <f t="shared" si="0"/>
        <v>13</v>
      </c>
      <c r="H42" s="2">
        <v>0</v>
      </c>
      <c r="I42" s="2">
        <v>13</v>
      </c>
      <c r="J42" s="2" t="s">
        <v>14</v>
      </c>
      <c r="K42" s="2" t="s">
        <v>32</v>
      </c>
      <c r="L42" s="2">
        <v>7</v>
      </c>
      <c r="M42" t="e">
        <f>VLOOKUP(B42,[1]报销单!$D:$G,4,0)</f>
        <v>#N/A</v>
      </c>
    </row>
    <row r="43" ht="27" spans="1:13">
      <c r="A43" s="2">
        <v>7</v>
      </c>
      <c r="B43" s="2" t="s">
        <v>100</v>
      </c>
      <c r="C43" s="2" t="s">
        <v>12</v>
      </c>
      <c r="D43" s="2"/>
      <c r="E43" s="2">
        <v>13</v>
      </c>
      <c r="F43" s="2" t="s">
        <v>101</v>
      </c>
      <c r="G43" s="2">
        <f t="shared" si="0"/>
        <v>13</v>
      </c>
      <c r="H43" s="2">
        <v>0</v>
      </c>
      <c r="I43" s="2">
        <v>13</v>
      </c>
      <c r="J43" s="2" t="s">
        <v>14</v>
      </c>
      <c r="K43" s="2" t="s">
        <v>59</v>
      </c>
      <c r="L43" s="2">
        <v>7</v>
      </c>
      <c r="M43" t="e">
        <f>VLOOKUP(B43,[1]报销单!$D:$G,4,0)</f>
        <v>#N/A</v>
      </c>
    </row>
    <row r="44" ht="27" spans="1:13">
      <c r="A44" s="2">
        <v>8</v>
      </c>
      <c r="B44" s="2" t="s">
        <v>102</v>
      </c>
      <c r="C44" s="2" t="s">
        <v>12</v>
      </c>
      <c r="D44" s="2"/>
      <c r="E44" s="2">
        <v>65</v>
      </c>
      <c r="F44" s="2" t="s">
        <v>103</v>
      </c>
      <c r="G44" s="2">
        <f t="shared" si="0"/>
        <v>65</v>
      </c>
      <c r="H44" s="2">
        <v>0</v>
      </c>
      <c r="I44" s="2">
        <v>65</v>
      </c>
      <c r="J44" s="2" t="s">
        <v>14</v>
      </c>
      <c r="K44" s="2" t="s">
        <v>59</v>
      </c>
      <c r="L44" s="2">
        <v>8</v>
      </c>
      <c r="M44" t="e">
        <f>VLOOKUP(B44,[1]报销单!$D:$G,4,0)</f>
        <v>#N/A</v>
      </c>
    </row>
    <row r="45" ht="40.5" spans="1:13">
      <c r="A45" s="2">
        <v>9</v>
      </c>
      <c r="B45" s="2" t="s">
        <v>104</v>
      </c>
      <c r="C45" s="2" t="s">
        <v>12</v>
      </c>
      <c r="D45" s="2"/>
      <c r="E45" s="2">
        <v>13</v>
      </c>
      <c r="F45" s="2" t="s">
        <v>105</v>
      </c>
      <c r="G45" s="2">
        <f t="shared" si="0"/>
        <v>13</v>
      </c>
      <c r="H45" s="2">
        <v>0</v>
      </c>
      <c r="I45" s="2">
        <v>13</v>
      </c>
      <c r="J45" s="2" t="s">
        <v>14</v>
      </c>
      <c r="K45" s="2" t="s">
        <v>106</v>
      </c>
      <c r="L45" s="2">
        <v>9</v>
      </c>
      <c r="M45" t="e">
        <f>VLOOKUP(B45,[1]报销单!$D:$G,4,0)</f>
        <v>#N/A</v>
      </c>
    </row>
    <row r="46" ht="27" spans="1:13">
      <c r="A46" s="2">
        <v>9</v>
      </c>
      <c r="B46" s="2" t="s">
        <v>107</v>
      </c>
      <c r="C46" s="2" t="s">
        <v>12</v>
      </c>
      <c r="D46" s="2"/>
      <c r="E46" s="2">
        <v>13</v>
      </c>
      <c r="F46" s="2" t="s">
        <v>108</v>
      </c>
      <c r="G46" s="2">
        <f t="shared" si="0"/>
        <v>13</v>
      </c>
      <c r="H46" s="2">
        <v>0</v>
      </c>
      <c r="I46" s="2">
        <v>13</v>
      </c>
      <c r="J46" s="2" t="s">
        <v>14</v>
      </c>
      <c r="K46" s="2" t="s">
        <v>109</v>
      </c>
      <c r="L46" s="2">
        <v>9</v>
      </c>
      <c r="M46" t="e">
        <f>VLOOKUP(B46,[1]报销单!$D:$G,4,0)</f>
        <v>#N/A</v>
      </c>
    </row>
    <row r="47" ht="40.5" spans="1:13">
      <c r="A47" s="2">
        <v>9</v>
      </c>
      <c r="B47" s="2" t="s">
        <v>110</v>
      </c>
      <c r="C47" s="2" t="s">
        <v>12</v>
      </c>
      <c r="D47" s="2"/>
      <c r="E47" s="2">
        <v>13</v>
      </c>
      <c r="F47" s="2" t="s">
        <v>111</v>
      </c>
      <c r="G47" s="2">
        <f t="shared" si="0"/>
        <v>13</v>
      </c>
      <c r="H47" s="2">
        <v>0</v>
      </c>
      <c r="I47" s="2">
        <v>13</v>
      </c>
      <c r="J47" s="2" t="s">
        <v>14</v>
      </c>
      <c r="K47" s="2" t="s">
        <v>32</v>
      </c>
      <c r="L47" s="2">
        <v>9</v>
      </c>
      <c r="M47" t="e">
        <f>VLOOKUP(B47,[1]报销单!$D:$G,4,0)</f>
        <v>#N/A</v>
      </c>
    </row>
    <row r="48" ht="27" spans="1:13">
      <c r="A48" s="2">
        <v>9</v>
      </c>
      <c r="B48" s="2" t="s">
        <v>112</v>
      </c>
      <c r="C48" s="2" t="s">
        <v>12</v>
      </c>
      <c r="D48" s="2"/>
      <c r="E48" s="2">
        <v>13</v>
      </c>
      <c r="F48" s="2" t="s">
        <v>113</v>
      </c>
      <c r="G48" s="2">
        <f t="shared" si="0"/>
        <v>13</v>
      </c>
      <c r="H48" s="2">
        <v>0</v>
      </c>
      <c r="I48" s="2">
        <v>13</v>
      </c>
      <c r="J48" s="2" t="s">
        <v>14</v>
      </c>
      <c r="K48" s="2" t="s">
        <v>15</v>
      </c>
      <c r="L48" s="2">
        <v>9</v>
      </c>
      <c r="M48" t="e">
        <f>VLOOKUP(B48,[1]报销单!$D:$G,4,0)</f>
        <v>#N/A</v>
      </c>
    </row>
    <row r="49" ht="27" spans="1:13">
      <c r="A49" s="2">
        <v>9</v>
      </c>
      <c r="B49" s="2" t="s">
        <v>114</v>
      </c>
      <c r="C49" s="2" t="s">
        <v>12</v>
      </c>
      <c r="D49" s="2"/>
      <c r="E49" s="2">
        <v>39</v>
      </c>
      <c r="F49" s="2" t="s">
        <v>115</v>
      </c>
      <c r="G49" s="2">
        <f t="shared" si="0"/>
        <v>39</v>
      </c>
      <c r="H49" s="2">
        <v>0</v>
      </c>
      <c r="I49" s="2">
        <v>39</v>
      </c>
      <c r="J49" s="2" t="s">
        <v>14</v>
      </c>
      <c r="K49" s="2" t="s">
        <v>59</v>
      </c>
      <c r="L49" s="2">
        <v>9</v>
      </c>
      <c r="M49" t="e">
        <f>VLOOKUP(B49,[1]报销单!$D:$G,4,0)</f>
        <v>#N/A</v>
      </c>
    </row>
    <row r="50" ht="40.5" spans="1:13">
      <c r="A50" s="2">
        <v>10</v>
      </c>
      <c r="B50" s="2" t="s">
        <v>116</v>
      </c>
      <c r="C50" s="2" t="s">
        <v>12</v>
      </c>
      <c r="D50" s="2"/>
      <c r="E50" s="2">
        <v>13</v>
      </c>
      <c r="F50" s="2" t="s">
        <v>117</v>
      </c>
      <c r="G50" s="2">
        <f t="shared" si="0"/>
        <v>13</v>
      </c>
      <c r="H50" s="2">
        <v>0</v>
      </c>
      <c r="I50" s="2">
        <v>13</v>
      </c>
      <c r="J50" s="2" t="s">
        <v>14</v>
      </c>
      <c r="K50" s="2" t="s">
        <v>32</v>
      </c>
      <c r="L50" s="2">
        <v>10</v>
      </c>
      <c r="M50" t="e">
        <f>VLOOKUP(B50,[1]报销单!$D:$G,4,0)</f>
        <v>#N/A</v>
      </c>
    </row>
    <row r="51" ht="40.5" spans="1:13">
      <c r="A51" s="2">
        <v>11</v>
      </c>
      <c r="B51" s="2" t="s">
        <v>118</v>
      </c>
      <c r="C51" s="2" t="s">
        <v>12</v>
      </c>
      <c r="D51" s="2"/>
      <c r="E51" s="2">
        <v>13</v>
      </c>
      <c r="F51" s="2" t="s">
        <v>119</v>
      </c>
      <c r="G51" s="2">
        <f t="shared" si="0"/>
        <v>13</v>
      </c>
      <c r="H51" s="2">
        <v>0</v>
      </c>
      <c r="I51" s="2">
        <v>13</v>
      </c>
      <c r="J51" s="2" t="s">
        <v>14</v>
      </c>
      <c r="K51" s="2" t="s">
        <v>32</v>
      </c>
      <c r="L51" s="2">
        <v>11</v>
      </c>
      <c r="M51" t="e">
        <f>VLOOKUP(B51,[1]报销单!$D:$G,4,0)</f>
        <v>#N/A</v>
      </c>
    </row>
    <row r="52" ht="27" spans="1:13">
      <c r="A52" s="2">
        <v>11</v>
      </c>
      <c r="B52" s="2" t="s">
        <v>120</v>
      </c>
      <c r="C52" s="2" t="s">
        <v>12</v>
      </c>
      <c r="D52" s="2"/>
      <c r="E52" s="2">
        <v>13</v>
      </c>
      <c r="F52" s="2" t="s">
        <v>121</v>
      </c>
      <c r="G52" s="2">
        <f t="shared" si="0"/>
        <v>13</v>
      </c>
      <c r="H52" s="2">
        <v>0</v>
      </c>
      <c r="I52" s="2">
        <v>13</v>
      </c>
      <c r="J52" s="2" t="s">
        <v>14</v>
      </c>
      <c r="K52" s="2" t="s">
        <v>59</v>
      </c>
      <c r="L52" s="2">
        <v>11</v>
      </c>
      <c r="M52" t="e">
        <f>VLOOKUP(B52,[1]报销单!$D:$G,4,0)</f>
        <v>#N/A</v>
      </c>
    </row>
    <row r="53" ht="40.5" spans="1:13">
      <c r="A53" s="2">
        <v>11</v>
      </c>
      <c r="B53" s="2" t="s">
        <v>122</v>
      </c>
      <c r="C53" s="2" t="s">
        <v>12</v>
      </c>
      <c r="D53" s="2"/>
      <c r="E53" s="2">
        <v>13</v>
      </c>
      <c r="F53" s="2" t="s">
        <v>123</v>
      </c>
      <c r="G53" s="2">
        <f t="shared" si="0"/>
        <v>13</v>
      </c>
      <c r="H53" s="2">
        <v>0</v>
      </c>
      <c r="I53" s="2">
        <v>13</v>
      </c>
      <c r="J53" s="2" t="s">
        <v>14</v>
      </c>
      <c r="K53" s="2" t="s">
        <v>32</v>
      </c>
      <c r="L53" s="2">
        <v>11</v>
      </c>
      <c r="M53" t="e">
        <f>VLOOKUP(B53,[1]报销单!$D:$G,4,0)</f>
        <v>#N/A</v>
      </c>
    </row>
    <row r="54" ht="40.5" spans="1:13">
      <c r="A54" s="2">
        <v>11</v>
      </c>
      <c r="B54" s="2" t="s">
        <v>124</v>
      </c>
      <c r="C54" s="2" t="s">
        <v>12</v>
      </c>
      <c r="D54" s="2"/>
      <c r="E54" s="2">
        <v>13</v>
      </c>
      <c r="F54" s="2" t="s">
        <v>125</v>
      </c>
      <c r="G54" s="2">
        <f t="shared" si="0"/>
        <v>13</v>
      </c>
      <c r="H54" s="2">
        <v>0</v>
      </c>
      <c r="I54" s="2">
        <v>13</v>
      </c>
      <c r="J54" s="2" t="s">
        <v>14</v>
      </c>
      <c r="K54" s="2" t="s">
        <v>32</v>
      </c>
      <c r="L54" s="2">
        <v>11</v>
      </c>
      <c r="M54" t="e">
        <f>VLOOKUP(B54,[1]报销单!$D:$G,4,0)</f>
        <v>#N/A</v>
      </c>
    </row>
    <row r="55" ht="27" spans="1:13">
      <c r="A55" s="2">
        <v>12</v>
      </c>
      <c r="B55" s="2" t="s">
        <v>126</v>
      </c>
      <c r="C55" s="2" t="s">
        <v>12</v>
      </c>
      <c r="D55" s="2"/>
      <c r="E55" s="2">
        <v>13</v>
      </c>
      <c r="F55" s="2" t="s">
        <v>127</v>
      </c>
      <c r="G55" s="2">
        <f t="shared" si="0"/>
        <v>13</v>
      </c>
      <c r="H55" s="2">
        <v>0</v>
      </c>
      <c r="I55" s="2">
        <v>13</v>
      </c>
      <c r="J55" s="2" t="s">
        <v>14</v>
      </c>
      <c r="K55" s="2" t="s">
        <v>15</v>
      </c>
      <c r="L55" s="2">
        <v>12</v>
      </c>
      <c r="M55" t="e">
        <f>VLOOKUP(B55,[1]报销单!$D:$G,4,0)</f>
        <v>#N/A</v>
      </c>
    </row>
    <row r="56" ht="27" spans="1:13">
      <c r="A56" s="2">
        <v>12</v>
      </c>
      <c r="B56" s="2" t="s">
        <v>128</v>
      </c>
      <c r="C56" s="2" t="s">
        <v>12</v>
      </c>
      <c r="D56" s="2"/>
      <c r="E56" s="2">
        <v>13</v>
      </c>
      <c r="F56" s="2" t="s">
        <v>129</v>
      </c>
      <c r="G56" s="2">
        <f t="shared" si="0"/>
        <v>13</v>
      </c>
      <c r="H56" s="2">
        <v>0</v>
      </c>
      <c r="I56" s="2">
        <v>13</v>
      </c>
      <c r="J56" s="2" t="s">
        <v>14</v>
      </c>
      <c r="K56" s="2" t="s">
        <v>59</v>
      </c>
      <c r="L56" s="2">
        <v>12</v>
      </c>
      <c r="M56" t="e">
        <f>VLOOKUP(B56,[1]报销单!$D:$G,4,0)</f>
        <v>#N/A</v>
      </c>
    </row>
    <row r="57" ht="27" spans="1:13">
      <c r="A57" s="2">
        <v>12</v>
      </c>
      <c r="B57" s="2" t="s">
        <v>130</v>
      </c>
      <c r="C57" s="2" t="s">
        <v>12</v>
      </c>
      <c r="D57" s="2"/>
      <c r="E57" s="2">
        <v>13</v>
      </c>
      <c r="F57" s="2" t="s">
        <v>131</v>
      </c>
      <c r="G57" s="2">
        <f t="shared" si="0"/>
        <v>13</v>
      </c>
      <c r="H57" s="2">
        <v>0</v>
      </c>
      <c r="I57" s="2">
        <v>13</v>
      </c>
      <c r="J57" s="2" t="s">
        <v>14</v>
      </c>
      <c r="K57" s="2" t="s">
        <v>15</v>
      </c>
      <c r="L57" s="2">
        <v>12</v>
      </c>
      <c r="M57" t="e">
        <f>VLOOKUP(B57,[1]报销单!$D:$G,4,0)</f>
        <v>#N/A</v>
      </c>
    </row>
    <row r="58" ht="40.5" spans="1:13">
      <c r="A58" s="2">
        <v>12</v>
      </c>
      <c r="B58" s="2" t="s">
        <v>132</v>
      </c>
      <c r="C58" s="2" t="s">
        <v>12</v>
      </c>
      <c r="D58" s="2"/>
      <c r="E58" s="2">
        <v>13</v>
      </c>
      <c r="F58" s="2" t="s">
        <v>133</v>
      </c>
      <c r="G58" s="2">
        <f t="shared" si="0"/>
        <v>13</v>
      </c>
      <c r="H58" s="2">
        <v>0</v>
      </c>
      <c r="I58" s="2">
        <v>13</v>
      </c>
      <c r="J58" s="2" t="s">
        <v>14</v>
      </c>
      <c r="K58" s="2" t="s">
        <v>83</v>
      </c>
      <c r="L58" s="2">
        <v>12</v>
      </c>
      <c r="M58" t="e">
        <f>VLOOKUP(B58,[1]报销单!$D:$G,4,0)</f>
        <v>#N/A</v>
      </c>
    </row>
    <row r="59" ht="40.5" spans="1:13">
      <c r="A59" s="2">
        <v>12</v>
      </c>
      <c r="B59" s="2" t="s">
        <v>134</v>
      </c>
      <c r="C59" s="2" t="s">
        <v>12</v>
      </c>
      <c r="D59" s="2"/>
      <c r="E59" s="2">
        <v>13</v>
      </c>
      <c r="F59" s="2" t="s">
        <v>135</v>
      </c>
      <c r="G59" s="2">
        <f t="shared" si="0"/>
        <v>13</v>
      </c>
      <c r="H59" s="2">
        <v>0</v>
      </c>
      <c r="I59" s="2">
        <v>13</v>
      </c>
      <c r="J59" s="2" t="s">
        <v>14</v>
      </c>
      <c r="K59" s="2" t="s">
        <v>136</v>
      </c>
      <c r="L59" s="2">
        <v>12</v>
      </c>
      <c r="M59" t="e">
        <f>VLOOKUP(B59,[1]报销单!$D:$G,4,0)</f>
        <v>#N/A</v>
      </c>
    </row>
    <row r="60" ht="40.5" spans="1:13">
      <c r="A60" s="2">
        <v>13</v>
      </c>
      <c r="B60" s="2" t="s">
        <v>137</v>
      </c>
      <c r="C60" s="2" t="s">
        <v>12</v>
      </c>
      <c r="D60" s="2"/>
      <c r="E60" s="2">
        <v>13</v>
      </c>
      <c r="F60" s="2" t="s">
        <v>138</v>
      </c>
      <c r="G60" s="2">
        <f t="shared" si="0"/>
        <v>13</v>
      </c>
      <c r="H60" s="2">
        <v>0</v>
      </c>
      <c r="I60" s="2">
        <v>13</v>
      </c>
      <c r="J60" s="2" t="s">
        <v>14</v>
      </c>
      <c r="K60" s="2" t="s">
        <v>83</v>
      </c>
      <c r="L60" s="2">
        <v>13</v>
      </c>
      <c r="M60" t="e">
        <f>VLOOKUP(B60,[1]报销单!$D:$G,4,0)</f>
        <v>#N/A</v>
      </c>
    </row>
    <row r="61" ht="40.5" spans="1:13">
      <c r="A61" s="2">
        <v>13</v>
      </c>
      <c r="B61" s="2" t="s">
        <v>139</v>
      </c>
      <c r="C61" s="2" t="s">
        <v>12</v>
      </c>
      <c r="D61" s="2"/>
      <c r="E61" s="2">
        <v>13</v>
      </c>
      <c r="F61" s="2" t="s">
        <v>140</v>
      </c>
      <c r="G61" s="2">
        <f t="shared" si="0"/>
        <v>13</v>
      </c>
      <c r="H61" s="2">
        <v>0</v>
      </c>
      <c r="I61" s="2">
        <v>13</v>
      </c>
      <c r="J61" s="2" t="s">
        <v>14</v>
      </c>
      <c r="K61" s="2" t="s">
        <v>32</v>
      </c>
      <c r="L61" s="2">
        <v>13</v>
      </c>
      <c r="M61" t="e">
        <f>VLOOKUP(B61,[1]报销单!$D:$G,4,0)</f>
        <v>#N/A</v>
      </c>
    </row>
    <row r="62" ht="27" spans="1:13">
      <c r="A62" s="2">
        <v>13</v>
      </c>
      <c r="B62" s="2" t="s">
        <v>141</v>
      </c>
      <c r="C62" s="2" t="s">
        <v>12</v>
      </c>
      <c r="D62" s="2"/>
      <c r="E62" s="2">
        <v>13</v>
      </c>
      <c r="F62" s="2" t="s">
        <v>142</v>
      </c>
      <c r="G62" s="2">
        <f t="shared" si="0"/>
        <v>13</v>
      </c>
      <c r="H62" s="2">
        <v>0</v>
      </c>
      <c r="I62" s="2">
        <v>13</v>
      </c>
      <c r="J62" s="2" t="s">
        <v>14</v>
      </c>
      <c r="K62" s="2" t="s">
        <v>15</v>
      </c>
      <c r="L62" s="2">
        <v>13</v>
      </c>
      <c r="M62" t="e">
        <f>VLOOKUP(B62,[1]报销单!$D:$G,4,0)</f>
        <v>#N/A</v>
      </c>
    </row>
    <row r="63" ht="40.5" spans="1:13">
      <c r="A63" s="2">
        <v>14</v>
      </c>
      <c r="B63" s="2" t="s">
        <v>143</v>
      </c>
      <c r="C63" s="2" t="s">
        <v>12</v>
      </c>
      <c r="D63" s="2"/>
      <c r="E63" s="2">
        <v>13</v>
      </c>
      <c r="F63" s="2" t="s">
        <v>144</v>
      </c>
      <c r="G63" s="2">
        <f t="shared" si="0"/>
        <v>13</v>
      </c>
      <c r="H63" s="2">
        <v>0</v>
      </c>
      <c r="I63" s="2">
        <v>13</v>
      </c>
      <c r="J63" s="2" t="s">
        <v>14</v>
      </c>
      <c r="K63" s="2" t="s">
        <v>32</v>
      </c>
      <c r="L63" s="2">
        <v>14</v>
      </c>
      <c r="M63" t="e">
        <f>VLOOKUP(B63,[1]报销单!$D:$G,4,0)</f>
        <v>#N/A</v>
      </c>
    </row>
    <row r="64" ht="40.5" spans="1:13">
      <c r="A64" s="2">
        <v>15</v>
      </c>
      <c r="B64" s="2" t="s">
        <v>145</v>
      </c>
      <c r="C64" s="2" t="s">
        <v>12</v>
      </c>
      <c r="D64" s="2"/>
      <c r="E64" s="2">
        <v>26</v>
      </c>
      <c r="F64" s="2" t="s">
        <v>146</v>
      </c>
      <c r="G64" s="2">
        <f t="shared" si="0"/>
        <v>26</v>
      </c>
      <c r="H64" s="2">
        <v>0</v>
      </c>
      <c r="I64" s="2">
        <v>26</v>
      </c>
      <c r="J64" s="2" t="s">
        <v>14</v>
      </c>
      <c r="K64" s="2" t="s">
        <v>83</v>
      </c>
      <c r="L64" s="2">
        <v>15</v>
      </c>
      <c r="M64" t="e">
        <f>VLOOKUP(B64,[1]报销单!$D:$G,4,0)</f>
        <v>#N/A</v>
      </c>
    </row>
    <row r="65" ht="27" spans="1:13">
      <c r="A65" s="2">
        <v>16</v>
      </c>
      <c r="B65" s="2" t="s">
        <v>147</v>
      </c>
      <c r="C65" s="2" t="s">
        <v>12</v>
      </c>
      <c r="D65" s="2"/>
      <c r="E65" s="2">
        <v>13</v>
      </c>
      <c r="F65" s="2" t="s">
        <v>148</v>
      </c>
      <c r="G65" s="2">
        <f t="shared" si="0"/>
        <v>13</v>
      </c>
      <c r="H65" s="2">
        <v>0</v>
      </c>
      <c r="I65" s="2">
        <v>13</v>
      </c>
      <c r="J65" s="2" t="s">
        <v>14</v>
      </c>
      <c r="K65" s="2" t="s">
        <v>149</v>
      </c>
      <c r="L65" s="2">
        <v>16</v>
      </c>
      <c r="M65" t="e">
        <f>VLOOKUP(B65,[1]报销单!$D:$G,4,0)</f>
        <v>#N/A</v>
      </c>
    </row>
    <row r="66" ht="40.5" spans="1:13">
      <c r="A66" s="2">
        <v>16</v>
      </c>
      <c r="B66" s="2" t="s">
        <v>150</v>
      </c>
      <c r="C66" s="2" t="s">
        <v>12</v>
      </c>
      <c r="D66" s="2"/>
      <c r="E66" s="2">
        <v>26</v>
      </c>
      <c r="F66" s="2" t="s">
        <v>151</v>
      </c>
      <c r="G66" s="2">
        <f t="shared" ref="G66:G129" si="1">E66+H66</f>
        <v>26</v>
      </c>
      <c r="H66" s="2">
        <v>0</v>
      </c>
      <c r="I66" s="2">
        <v>26</v>
      </c>
      <c r="J66" s="2" t="s">
        <v>14</v>
      </c>
      <c r="K66" s="2" t="s">
        <v>62</v>
      </c>
      <c r="L66" s="2">
        <v>16</v>
      </c>
      <c r="M66" t="e">
        <f>VLOOKUP(B66,[1]报销单!$D:$G,4,0)</f>
        <v>#N/A</v>
      </c>
    </row>
    <row r="67" ht="40.5" spans="1:13">
      <c r="A67" s="2">
        <v>17</v>
      </c>
      <c r="B67" s="2" t="s">
        <v>152</v>
      </c>
      <c r="C67" s="2" t="s">
        <v>12</v>
      </c>
      <c r="D67" s="2"/>
      <c r="E67" s="2">
        <v>13</v>
      </c>
      <c r="F67" s="2" t="s">
        <v>153</v>
      </c>
      <c r="G67" s="2">
        <f t="shared" si="1"/>
        <v>13</v>
      </c>
      <c r="H67" s="2">
        <v>0</v>
      </c>
      <c r="I67" s="2">
        <v>13</v>
      </c>
      <c r="J67" s="2" t="s">
        <v>14</v>
      </c>
      <c r="K67" s="2" t="s">
        <v>32</v>
      </c>
      <c r="L67" s="2">
        <v>17</v>
      </c>
      <c r="M67" t="e">
        <f>VLOOKUP(B67,[1]报销单!$D:$G,4,0)</f>
        <v>#N/A</v>
      </c>
    </row>
    <row r="68" ht="40.5" spans="1:13">
      <c r="A68" s="2">
        <v>17</v>
      </c>
      <c r="B68" s="2" t="s">
        <v>154</v>
      </c>
      <c r="C68" s="2" t="s">
        <v>12</v>
      </c>
      <c r="D68" s="2"/>
      <c r="E68" s="2">
        <v>13</v>
      </c>
      <c r="F68" s="2" t="s">
        <v>155</v>
      </c>
      <c r="G68" s="2">
        <f t="shared" si="1"/>
        <v>13</v>
      </c>
      <c r="H68" s="2">
        <v>0</v>
      </c>
      <c r="I68" s="2">
        <v>13</v>
      </c>
      <c r="J68" s="2" t="s">
        <v>14</v>
      </c>
      <c r="K68" s="2" t="s">
        <v>106</v>
      </c>
      <c r="L68" s="2">
        <v>17</v>
      </c>
      <c r="M68" t="e">
        <f>VLOOKUP(B68,[1]报销单!$D:$G,4,0)</f>
        <v>#N/A</v>
      </c>
    </row>
    <row r="69" ht="40.5" spans="1:13">
      <c r="A69" s="2">
        <v>17</v>
      </c>
      <c r="B69" s="2" t="s">
        <v>156</v>
      </c>
      <c r="C69" s="2" t="s">
        <v>12</v>
      </c>
      <c r="D69" s="2"/>
      <c r="E69" s="2">
        <v>13</v>
      </c>
      <c r="F69" s="2" t="s">
        <v>157</v>
      </c>
      <c r="G69" s="2">
        <f t="shared" si="1"/>
        <v>13</v>
      </c>
      <c r="H69" s="2">
        <v>0</v>
      </c>
      <c r="I69" s="2">
        <v>13</v>
      </c>
      <c r="J69" s="2" t="s">
        <v>14</v>
      </c>
      <c r="K69" s="2" t="s">
        <v>32</v>
      </c>
      <c r="L69" s="2">
        <v>17</v>
      </c>
      <c r="M69" t="e">
        <f>VLOOKUP(B69,[1]报销单!$D:$G,4,0)</f>
        <v>#N/A</v>
      </c>
    </row>
    <row r="70" ht="40.5" spans="1:13">
      <c r="A70" s="2">
        <v>17</v>
      </c>
      <c r="B70" s="2" t="s">
        <v>158</v>
      </c>
      <c r="C70" s="2" t="s">
        <v>12</v>
      </c>
      <c r="D70" s="2"/>
      <c r="E70" s="2">
        <v>13</v>
      </c>
      <c r="F70" s="2" t="s">
        <v>159</v>
      </c>
      <c r="G70" s="2">
        <f t="shared" si="1"/>
        <v>13</v>
      </c>
      <c r="H70" s="2">
        <v>0</v>
      </c>
      <c r="I70" s="2">
        <v>13</v>
      </c>
      <c r="J70" s="2" t="s">
        <v>14</v>
      </c>
      <c r="K70" s="2" t="s">
        <v>32</v>
      </c>
      <c r="L70" s="2">
        <v>17</v>
      </c>
      <c r="M70" t="e">
        <f>VLOOKUP(B70,[1]报销单!$D:$G,4,0)</f>
        <v>#N/A</v>
      </c>
    </row>
    <row r="71" ht="40.5" spans="1:13">
      <c r="A71" s="2">
        <v>17</v>
      </c>
      <c r="B71" s="2" t="s">
        <v>160</v>
      </c>
      <c r="C71" s="2" t="s">
        <v>12</v>
      </c>
      <c r="D71" s="2"/>
      <c r="E71" s="2">
        <v>13</v>
      </c>
      <c r="F71" s="2" t="s">
        <v>161</v>
      </c>
      <c r="G71" s="2">
        <f t="shared" si="1"/>
        <v>13</v>
      </c>
      <c r="H71" s="2">
        <v>0</v>
      </c>
      <c r="I71" s="2">
        <v>13</v>
      </c>
      <c r="J71" s="2" t="s">
        <v>14</v>
      </c>
      <c r="K71" s="2" t="s">
        <v>32</v>
      </c>
      <c r="L71" s="2">
        <v>17</v>
      </c>
      <c r="M71" t="e">
        <f>VLOOKUP(B71,[1]报销单!$D:$G,4,0)</f>
        <v>#N/A</v>
      </c>
    </row>
    <row r="72" ht="40.5" spans="1:13">
      <c r="A72" s="2">
        <v>17</v>
      </c>
      <c r="B72" s="2" t="s">
        <v>162</v>
      </c>
      <c r="C72" s="2" t="s">
        <v>12</v>
      </c>
      <c r="D72" s="2"/>
      <c r="E72" s="2">
        <v>13</v>
      </c>
      <c r="F72" s="2" t="s">
        <v>163</v>
      </c>
      <c r="G72" s="2">
        <f t="shared" si="1"/>
        <v>13</v>
      </c>
      <c r="H72" s="2">
        <v>0</v>
      </c>
      <c r="I72" s="2">
        <v>13</v>
      </c>
      <c r="J72" s="2" t="s">
        <v>14</v>
      </c>
      <c r="K72" s="2" t="s">
        <v>32</v>
      </c>
      <c r="L72" s="2">
        <v>17</v>
      </c>
      <c r="M72" t="e">
        <f>VLOOKUP(B72,[1]报销单!$D:$G,4,0)</f>
        <v>#N/A</v>
      </c>
    </row>
    <row r="73" ht="40.5" spans="1:13">
      <c r="A73" s="2">
        <v>17</v>
      </c>
      <c r="B73" s="2" t="s">
        <v>164</v>
      </c>
      <c r="C73" s="2" t="s">
        <v>12</v>
      </c>
      <c r="D73" s="2"/>
      <c r="E73" s="2">
        <v>13</v>
      </c>
      <c r="F73" s="2" t="s">
        <v>165</v>
      </c>
      <c r="G73" s="2">
        <f t="shared" si="1"/>
        <v>13</v>
      </c>
      <c r="H73" s="2">
        <v>0</v>
      </c>
      <c r="I73" s="2">
        <v>13</v>
      </c>
      <c r="J73" s="2" t="s">
        <v>14</v>
      </c>
      <c r="K73" s="2" t="s">
        <v>32</v>
      </c>
      <c r="L73" s="2">
        <v>17</v>
      </c>
      <c r="M73" t="e">
        <f>VLOOKUP(B73,[1]报销单!$D:$G,4,0)</f>
        <v>#N/A</v>
      </c>
    </row>
    <row r="74" ht="40.5" spans="1:13">
      <c r="A74" s="2">
        <v>17</v>
      </c>
      <c r="B74" s="2" t="s">
        <v>166</v>
      </c>
      <c r="C74" s="2" t="s">
        <v>12</v>
      </c>
      <c r="D74" s="2"/>
      <c r="E74" s="2">
        <v>13</v>
      </c>
      <c r="F74" s="2" t="s">
        <v>167</v>
      </c>
      <c r="G74" s="2">
        <f t="shared" si="1"/>
        <v>13</v>
      </c>
      <c r="H74" s="2">
        <v>0</v>
      </c>
      <c r="I74" s="2">
        <v>13</v>
      </c>
      <c r="J74" s="2" t="s">
        <v>14</v>
      </c>
      <c r="K74" s="2" t="s">
        <v>32</v>
      </c>
      <c r="L74" s="2">
        <v>17</v>
      </c>
      <c r="M74" t="e">
        <f>VLOOKUP(B74,[1]报销单!$D:$G,4,0)</f>
        <v>#N/A</v>
      </c>
    </row>
    <row r="75" ht="40.5" spans="1:13">
      <c r="A75" s="2">
        <v>18</v>
      </c>
      <c r="B75" s="2" t="s">
        <v>168</v>
      </c>
      <c r="C75" s="2" t="s">
        <v>12</v>
      </c>
      <c r="D75" s="2" t="s">
        <v>169</v>
      </c>
      <c r="E75" s="2">
        <v>13</v>
      </c>
      <c r="F75" s="2" t="s">
        <v>170</v>
      </c>
      <c r="G75" s="2">
        <f t="shared" si="1"/>
        <v>13</v>
      </c>
      <c r="H75" s="2">
        <v>0</v>
      </c>
      <c r="I75" s="2">
        <v>13</v>
      </c>
      <c r="J75" s="2" t="s">
        <v>14</v>
      </c>
      <c r="K75" s="2" t="s">
        <v>106</v>
      </c>
      <c r="L75" s="2">
        <v>18</v>
      </c>
      <c r="M75" t="e">
        <f>VLOOKUP(B75,[1]报销单!$D:$G,4,0)</f>
        <v>#N/A</v>
      </c>
    </row>
    <row r="76" ht="40.5" spans="1:13">
      <c r="A76" s="2">
        <v>19</v>
      </c>
      <c r="B76" s="2" t="s">
        <v>171</v>
      </c>
      <c r="C76" s="2" t="s">
        <v>12</v>
      </c>
      <c r="D76" s="2"/>
      <c r="E76" s="2">
        <v>13</v>
      </c>
      <c r="F76" s="2" t="s">
        <v>172</v>
      </c>
      <c r="G76" s="2">
        <f t="shared" si="1"/>
        <v>13</v>
      </c>
      <c r="H76" s="2">
        <v>0</v>
      </c>
      <c r="I76" s="2">
        <v>13</v>
      </c>
      <c r="J76" s="2" t="s">
        <v>14</v>
      </c>
      <c r="K76" s="2" t="s">
        <v>173</v>
      </c>
      <c r="L76" s="2">
        <v>19</v>
      </c>
      <c r="M76" t="e">
        <f>VLOOKUP(B76,[1]报销单!$D:$G,4,0)</f>
        <v>#N/A</v>
      </c>
    </row>
    <row r="77" ht="40.5" spans="1:13">
      <c r="A77" s="2">
        <v>19</v>
      </c>
      <c r="B77" s="2" t="s">
        <v>174</v>
      </c>
      <c r="C77" s="2" t="s">
        <v>12</v>
      </c>
      <c r="D77" s="2"/>
      <c r="E77" s="2">
        <v>13</v>
      </c>
      <c r="F77" s="2" t="s">
        <v>175</v>
      </c>
      <c r="G77" s="2">
        <f t="shared" si="1"/>
        <v>13</v>
      </c>
      <c r="H77" s="2">
        <v>0</v>
      </c>
      <c r="I77" s="2">
        <v>13</v>
      </c>
      <c r="J77" s="2" t="s">
        <v>14</v>
      </c>
      <c r="K77" s="2" t="s">
        <v>32</v>
      </c>
      <c r="L77" s="2">
        <v>19</v>
      </c>
      <c r="M77" t="e">
        <f>VLOOKUP(B77,[1]报销单!$D:$G,4,0)</f>
        <v>#N/A</v>
      </c>
    </row>
    <row r="78" ht="40.5" spans="1:13">
      <c r="A78" s="2">
        <v>20</v>
      </c>
      <c r="B78" s="2" t="s">
        <v>176</v>
      </c>
      <c r="C78" s="2" t="s">
        <v>12</v>
      </c>
      <c r="D78" s="2"/>
      <c r="E78" s="2">
        <v>13</v>
      </c>
      <c r="F78" s="2" t="s">
        <v>177</v>
      </c>
      <c r="G78" s="2">
        <f t="shared" si="1"/>
        <v>13</v>
      </c>
      <c r="H78" s="2">
        <v>0</v>
      </c>
      <c r="I78" s="2">
        <v>13</v>
      </c>
      <c r="J78" s="2" t="s">
        <v>14</v>
      </c>
      <c r="K78" s="2" t="s">
        <v>32</v>
      </c>
      <c r="L78" s="2">
        <v>20</v>
      </c>
      <c r="M78" t="e">
        <f>VLOOKUP(B78,[1]报销单!$D:$G,4,0)</f>
        <v>#N/A</v>
      </c>
    </row>
    <row r="79" ht="40.5" spans="1:13">
      <c r="A79" s="2">
        <v>20</v>
      </c>
      <c r="B79" s="2" t="s">
        <v>178</v>
      </c>
      <c r="C79" s="2" t="s">
        <v>12</v>
      </c>
      <c r="D79" s="2"/>
      <c r="E79" s="2">
        <v>13</v>
      </c>
      <c r="F79" s="2" t="s">
        <v>179</v>
      </c>
      <c r="G79" s="2">
        <f t="shared" si="1"/>
        <v>13</v>
      </c>
      <c r="H79" s="2">
        <v>0</v>
      </c>
      <c r="I79" s="2">
        <v>13</v>
      </c>
      <c r="J79" s="2" t="s">
        <v>14</v>
      </c>
      <c r="K79" s="2" t="s">
        <v>32</v>
      </c>
      <c r="L79" s="2">
        <v>20</v>
      </c>
      <c r="M79" t="e">
        <f>VLOOKUP(B79,[1]报销单!$D:$G,4,0)</f>
        <v>#N/A</v>
      </c>
    </row>
    <row r="80" ht="40.5" spans="1:13">
      <c r="A80" s="2">
        <v>20</v>
      </c>
      <c r="B80" s="2" t="s">
        <v>180</v>
      </c>
      <c r="C80" s="2" t="s">
        <v>12</v>
      </c>
      <c r="D80" s="2"/>
      <c r="E80" s="2">
        <v>13</v>
      </c>
      <c r="F80" s="2" t="s">
        <v>181</v>
      </c>
      <c r="G80" s="2">
        <f t="shared" si="1"/>
        <v>13</v>
      </c>
      <c r="H80" s="2">
        <v>0</v>
      </c>
      <c r="I80" s="2">
        <v>13</v>
      </c>
      <c r="J80" s="2" t="s">
        <v>14</v>
      </c>
      <c r="K80" s="2" t="s">
        <v>32</v>
      </c>
      <c r="L80" s="2">
        <v>20</v>
      </c>
      <c r="M80" t="e">
        <f>VLOOKUP(B80,[1]报销单!$D:$G,4,0)</f>
        <v>#N/A</v>
      </c>
    </row>
    <row r="81" ht="40.5" spans="1:13">
      <c r="A81" s="2">
        <v>20</v>
      </c>
      <c r="B81" s="2" t="s">
        <v>182</v>
      </c>
      <c r="C81" s="2" t="s">
        <v>12</v>
      </c>
      <c r="D81" s="2"/>
      <c r="E81" s="2">
        <v>13</v>
      </c>
      <c r="F81" s="2" t="s">
        <v>183</v>
      </c>
      <c r="G81" s="2">
        <f t="shared" si="1"/>
        <v>13</v>
      </c>
      <c r="H81" s="2">
        <v>0</v>
      </c>
      <c r="I81" s="2">
        <v>13</v>
      </c>
      <c r="J81" s="2" t="s">
        <v>14</v>
      </c>
      <c r="K81" s="2" t="s">
        <v>32</v>
      </c>
      <c r="L81" s="2">
        <v>20</v>
      </c>
      <c r="M81" t="e">
        <f>VLOOKUP(B81,[1]报销单!$D:$G,4,0)</f>
        <v>#N/A</v>
      </c>
    </row>
    <row r="82" ht="40.5" spans="1:13">
      <c r="A82" s="2">
        <v>20</v>
      </c>
      <c r="B82" s="2" t="s">
        <v>184</v>
      </c>
      <c r="C82" s="2" t="s">
        <v>12</v>
      </c>
      <c r="D82" s="2"/>
      <c r="E82" s="2">
        <v>13</v>
      </c>
      <c r="F82" s="2" t="s">
        <v>185</v>
      </c>
      <c r="G82" s="2">
        <f t="shared" si="1"/>
        <v>13</v>
      </c>
      <c r="H82" s="2">
        <v>0</v>
      </c>
      <c r="I82" s="2">
        <v>13</v>
      </c>
      <c r="J82" s="2" t="s">
        <v>14</v>
      </c>
      <c r="K82" s="2" t="s">
        <v>32</v>
      </c>
      <c r="L82" s="2">
        <v>20</v>
      </c>
      <c r="M82" t="e">
        <f>VLOOKUP(B82,[1]报销单!$D:$G,4,0)</f>
        <v>#N/A</v>
      </c>
    </row>
    <row r="83" ht="40.5" spans="1:13">
      <c r="A83" s="2">
        <v>20</v>
      </c>
      <c r="B83" s="2" t="s">
        <v>186</v>
      </c>
      <c r="C83" s="2" t="s">
        <v>12</v>
      </c>
      <c r="D83" s="2"/>
      <c r="E83" s="2">
        <v>13</v>
      </c>
      <c r="F83" s="2" t="s">
        <v>187</v>
      </c>
      <c r="G83" s="2">
        <f t="shared" si="1"/>
        <v>13</v>
      </c>
      <c r="H83" s="2">
        <v>0</v>
      </c>
      <c r="I83" s="2">
        <v>13</v>
      </c>
      <c r="J83" s="2" t="s">
        <v>14</v>
      </c>
      <c r="K83" s="2" t="s">
        <v>32</v>
      </c>
      <c r="L83" s="2">
        <v>20</v>
      </c>
      <c r="M83" t="e">
        <f>VLOOKUP(B83,[1]报销单!$D:$G,4,0)</f>
        <v>#N/A</v>
      </c>
    </row>
    <row r="84" ht="40.5" spans="1:13">
      <c r="A84" s="2">
        <v>20</v>
      </c>
      <c r="B84" s="2" t="s">
        <v>188</v>
      </c>
      <c r="C84" s="2" t="s">
        <v>12</v>
      </c>
      <c r="D84" s="2"/>
      <c r="E84" s="2">
        <v>13</v>
      </c>
      <c r="F84" s="2" t="s">
        <v>189</v>
      </c>
      <c r="G84" s="2">
        <f t="shared" si="1"/>
        <v>13</v>
      </c>
      <c r="H84" s="2">
        <v>0</v>
      </c>
      <c r="I84" s="2">
        <v>13</v>
      </c>
      <c r="J84" s="2" t="s">
        <v>14</v>
      </c>
      <c r="K84" s="2" t="s">
        <v>32</v>
      </c>
      <c r="L84" s="2">
        <v>20</v>
      </c>
      <c r="M84" t="e">
        <f>VLOOKUP(B84,[1]报销单!$D:$G,4,0)</f>
        <v>#N/A</v>
      </c>
    </row>
    <row r="85" ht="40.5" spans="1:13">
      <c r="A85" s="2">
        <v>20</v>
      </c>
      <c r="B85" s="2" t="s">
        <v>190</v>
      </c>
      <c r="C85" s="2" t="s">
        <v>12</v>
      </c>
      <c r="D85" s="2"/>
      <c r="E85" s="2">
        <v>13</v>
      </c>
      <c r="F85" s="2" t="s">
        <v>191</v>
      </c>
      <c r="G85" s="2">
        <f t="shared" si="1"/>
        <v>13</v>
      </c>
      <c r="H85" s="2">
        <v>0</v>
      </c>
      <c r="I85" s="2">
        <v>13</v>
      </c>
      <c r="J85" s="2" t="s">
        <v>14</v>
      </c>
      <c r="K85" s="2" t="s">
        <v>32</v>
      </c>
      <c r="L85" s="2">
        <v>20</v>
      </c>
      <c r="M85" t="e">
        <f>VLOOKUP(B85,[1]报销单!$D:$G,4,0)</f>
        <v>#N/A</v>
      </c>
    </row>
    <row r="86" ht="40.5" spans="1:13">
      <c r="A86" s="2">
        <v>20</v>
      </c>
      <c r="B86" s="2" t="s">
        <v>192</v>
      </c>
      <c r="C86" s="2" t="s">
        <v>12</v>
      </c>
      <c r="D86" s="2"/>
      <c r="E86" s="2">
        <v>13</v>
      </c>
      <c r="F86" s="2" t="s">
        <v>193</v>
      </c>
      <c r="G86" s="2">
        <f t="shared" si="1"/>
        <v>10.49</v>
      </c>
      <c r="H86" s="2">
        <v>-2.51</v>
      </c>
      <c r="I86" s="2">
        <v>15.51</v>
      </c>
      <c r="J86" s="2" t="s">
        <v>14</v>
      </c>
      <c r="K86" s="2" t="s">
        <v>32</v>
      </c>
      <c r="L86" s="2">
        <v>20</v>
      </c>
      <c r="M86" t="e">
        <f>VLOOKUP(B86,[1]报销单!$D:$G,4,0)</f>
        <v>#N/A</v>
      </c>
    </row>
    <row r="87" ht="40.5" spans="1:13">
      <c r="A87" s="2">
        <v>20</v>
      </c>
      <c r="B87" s="2" t="s">
        <v>194</v>
      </c>
      <c r="C87" s="2" t="s">
        <v>12</v>
      </c>
      <c r="D87" s="2"/>
      <c r="E87" s="2">
        <v>13</v>
      </c>
      <c r="F87" s="2" t="s">
        <v>195</v>
      </c>
      <c r="G87" s="2">
        <f t="shared" si="1"/>
        <v>13</v>
      </c>
      <c r="H87" s="2">
        <v>0</v>
      </c>
      <c r="I87" s="2">
        <v>13</v>
      </c>
      <c r="J87" s="2" t="s">
        <v>14</v>
      </c>
      <c r="K87" s="2" t="s">
        <v>32</v>
      </c>
      <c r="L87" s="2">
        <v>20</v>
      </c>
      <c r="M87" t="e">
        <f>VLOOKUP(B87,[1]报销单!$D:$G,4,0)</f>
        <v>#N/A</v>
      </c>
    </row>
    <row r="88" ht="40.5" spans="1:13">
      <c r="A88" s="2">
        <v>20</v>
      </c>
      <c r="B88" s="2" t="s">
        <v>196</v>
      </c>
      <c r="C88" s="2" t="s">
        <v>12</v>
      </c>
      <c r="D88" s="2"/>
      <c r="E88" s="2">
        <v>13</v>
      </c>
      <c r="F88" s="2" t="s">
        <v>197</v>
      </c>
      <c r="G88" s="2">
        <f t="shared" si="1"/>
        <v>13</v>
      </c>
      <c r="H88" s="2">
        <v>0</v>
      </c>
      <c r="I88" s="2">
        <v>13</v>
      </c>
      <c r="J88" s="2" t="s">
        <v>14</v>
      </c>
      <c r="K88" s="2" t="s">
        <v>32</v>
      </c>
      <c r="L88" s="2">
        <v>20</v>
      </c>
      <c r="M88" t="e">
        <f>VLOOKUP(B88,[1]报销单!$D:$G,4,0)</f>
        <v>#N/A</v>
      </c>
    </row>
    <row r="89" ht="40.5" spans="1:13">
      <c r="A89" s="2">
        <v>20</v>
      </c>
      <c r="B89" s="2" t="s">
        <v>198</v>
      </c>
      <c r="C89" s="2" t="s">
        <v>12</v>
      </c>
      <c r="D89" s="2"/>
      <c r="E89" s="2">
        <v>13</v>
      </c>
      <c r="F89" s="2" t="s">
        <v>199</v>
      </c>
      <c r="G89" s="2">
        <f t="shared" si="1"/>
        <v>13</v>
      </c>
      <c r="H89" s="2">
        <v>0</v>
      </c>
      <c r="I89" s="2">
        <v>13</v>
      </c>
      <c r="J89" s="2" t="s">
        <v>14</v>
      </c>
      <c r="K89" s="2" t="s">
        <v>32</v>
      </c>
      <c r="L89" s="2">
        <v>20</v>
      </c>
      <c r="M89" t="e">
        <f>VLOOKUP(B89,[1]报销单!$D:$G,4,0)</f>
        <v>#N/A</v>
      </c>
    </row>
    <row r="90" ht="40.5" spans="1:13">
      <c r="A90" s="2">
        <v>20</v>
      </c>
      <c r="B90" s="2" t="s">
        <v>200</v>
      </c>
      <c r="C90" s="2" t="s">
        <v>12</v>
      </c>
      <c r="D90" s="2"/>
      <c r="E90" s="2">
        <v>13</v>
      </c>
      <c r="F90" s="2" t="s">
        <v>201</v>
      </c>
      <c r="G90" s="2">
        <f t="shared" si="1"/>
        <v>13</v>
      </c>
      <c r="H90" s="2">
        <v>0</v>
      </c>
      <c r="I90" s="2">
        <v>13</v>
      </c>
      <c r="J90" s="2" t="s">
        <v>14</v>
      </c>
      <c r="K90" s="2" t="s">
        <v>32</v>
      </c>
      <c r="L90" s="2">
        <v>20</v>
      </c>
      <c r="M90" t="e">
        <f>VLOOKUP(B90,[1]报销单!$D:$G,4,0)</f>
        <v>#N/A</v>
      </c>
    </row>
    <row r="91" ht="40.5" spans="1:13">
      <c r="A91" s="2">
        <v>20</v>
      </c>
      <c r="B91" s="2" t="s">
        <v>202</v>
      </c>
      <c r="C91" s="2" t="s">
        <v>12</v>
      </c>
      <c r="D91" s="2"/>
      <c r="E91" s="2">
        <v>26</v>
      </c>
      <c r="F91" s="2" t="s">
        <v>203</v>
      </c>
      <c r="G91" s="2">
        <f t="shared" si="1"/>
        <v>20.98</v>
      </c>
      <c r="H91" s="2">
        <v>-5.02</v>
      </c>
      <c r="I91" s="2">
        <v>31.02</v>
      </c>
      <c r="J91" s="2" t="s">
        <v>14</v>
      </c>
      <c r="K91" s="2" t="s">
        <v>32</v>
      </c>
      <c r="L91" s="2">
        <v>20</v>
      </c>
      <c r="M91" t="e">
        <f>VLOOKUP(B91,[1]报销单!$D:$G,4,0)</f>
        <v>#N/A</v>
      </c>
    </row>
    <row r="92" ht="40.5" spans="1:13">
      <c r="A92" s="2">
        <v>20</v>
      </c>
      <c r="B92" s="2" t="s">
        <v>204</v>
      </c>
      <c r="C92" s="2" t="s">
        <v>12</v>
      </c>
      <c r="D92" s="2"/>
      <c r="E92" s="2">
        <v>13</v>
      </c>
      <c r="F92" s="2" t="s">
        <v>205</v>
      </c>
      <c r="G92" s="2">
        <f t="shared" si="1"/>
        <v>13</v>
      </c>
      <c r="H92" s="2">
        <v>0</v>
      </c>
      <c r="I92" s="2">
        <v>13</v>
      </c>
      <c r="J92" s="2" t="s">
        <v>14</v>
      </c>
      <c r="K92" s="2" t="s">
        <v>32</v>
      </c>
      <c r="L92" s="2">
        <v>20</v>
      </c>
      <c r="M92" t="e">
        <f>VLOOKUP(B92,[1]报销单!$D:$G,4,0)</f>
        <v>#N/A</v>
      </c>
    </row>
    <row r="93" ht="40.5" spans="1:13">
      <c r="A93" s="2">
        <v>20</v>
      </c>
      <c r="B93" s="2" t="s">
        <v>206</v>
      </c>
      <c r="C93" s="2" t="s">
        <v>12</v>
      </c>
      <c r="D93" s="2"/>
      <c r="E93" s="2">
        <v>26</v>
      </c>
      <c r="F93" s="2" t="s">
        <v>207</v>
      </c>
      <c r="G93" s="2">
        <f t="shared" si="1"/>
        <v>26</v>
      </c>
      <c r="H93" s="2">
        <v>0</v>
      </c>
      <c r="I93" s="2">
        <v>26</v>
      </c>
      <c r="J93" s="2" t="s">
        <v>14</v>
      </c>
      <c r="K93" s="2" t="s">
        <v>32</v>
      </c>
      <c r="L93" s="2">
        <v>20</v>
      </c>
      <c r="M93" t="e">
        <f>VLOOKUP(B93,[1]报销单!$D:$G,4,0)</f>
        <v>#N/A</v>
      </c>
    </row>
    <row r="94" ht="40.5" spans="1:13">
      <c r="A94" s="2">
        <v>20</v>
      </c>
      <c r="B94" s="2" t="s">
        <v>208</v>
      </c>
      <c r="C94" s="2" t="s">
        <v>12</v>
      </c>
      <c r="D94" s="2"/>
      <c r="E94" s="2">
        <v>26</v>
      </c>
      <c r="F94" s="2" t="s">
        <v>209</v>
      </c>
      <c r="G94" s="2">
        <f t="shared" si="1"/>
        <v>26</v>
      </c>
      <c r="H94" s="2">
        <v>0</v>
      </c>
      <c r="I94" s="2">
        <v>26</v>
      </c>
      <c r="J94" s="2" t="s">
        <v>14</v>
      </c>
      <c r="K94" s="2" t="s">
        <v>32</v>
      </c>
      <c r="L94" s="2">
        <v>20</v>
      </c>
      <c r="M94" t="e">
        <f>VLOOKUP(B94,[1]报销单!$D:$G,4,0)</f>
        <v>#N/A</v>
      </c>
    </row>
    <row r="95" ht="40.5" spans="1:13">
      <c r="A95" s="2">
        <v>20</v>
      </c>
      <c r="B95" s="2" t="s">
        <v>210</v>
      </c>
      <c r="C95" s="2" t="s">
        <v>12</v>
      </c>
      <c r="D95" s="2"/>
      <c r="E95" s="2">
        <v>13</v>
      </c>
      <c r="F95" s="2" t="s">
        <v>211</v>
      </c>
      <c r="G95" s="2">
        <f t="shared" si="1"/>
        <v>10.49</v>
      </c>
      <c r="H95" s="2">
        <v>-2.51</v>
      </c>
      <c r="I95" s="2">
        <v>15.51</v>
      </c>
      <c r="J95" s="2" t="s">
        <v>14</v>
      </c>
      <c r="K95" s="2" t="s">
        <v>32</v>
      </c>
      <c r="L95" s="2">
        <v>20</v>
      </c>
      <c r="M95" t="e">
        <f>VLOOKUP(B95,[1]报销单!$D:$G,4,0)</f>
        <v>#N/A</v>
      </c>
    </row>
    <row r="96" ht="40.5" spans="1:13">
      <c r="A96" s="2">
        <v>20</v>
      </c>
      <c r="B96" s="2" t="s">
        <v>212</v>
      </c>
      <c r="C96" s="2" t="s">
        <v>12</v>
      </c>
      <c r="D96" s="2"/>
      <c r="E96" s="2">
        <v>13</v>
      </c>
      <c r="F96" s="2" t="s">
        <v>213</v>
      </c>
      <c r="G96" s="2">
        <f t="shared" si="1"/>
        <v>10.49</v>
      </c>
      <c r="H96" s="2">
        <v>-2.51</v>
      </c>
      <c r="I96" s="2">
        <v>15.51</v>
      </c>
      <c r="J96" s="2" t="s">
        <v>14</v>
      </c>
      <c r="K96" s="2" t="s">
        <v>32</v>
      </c>
      <c r="L96" s="2">
        <v>20</v>
      </c>
      <c r="M96" t="e">
        <f>VLOOKUP(B96,[1]报销单!$D:$G,4,0)</f>
        <v>#N/A</v>
      </c>
    </row>
    <row r="97" ht="40.5" spans="1:13">
      <c r="A97" s="2">
        <v>20</v>
      </c>
      <c r="B97" s="2" t="s">
        <v>214</v>
      </c>
      <c r="C97" s="2" t="s">
        <v>12</v>
      </c>
      <c r="D97" s="2"/>
      <c r="E97" s="2">
        <v>13</v>
      </c>
      <c r="F97" s="2" t="s">
        <v>215</v>
      </c>
      <c r="G97" s="2">
        <f t="shared" si="1"/>
        <v>10.49</v>
      </c>
      <c r="H97" s="2">
        <v>-2.51</v>
      </c>
      <c r="I97" s="2">
        <v>15.51</v>
      </c>
      <c r="J97" s="2" t="s">
        <v>14</v>
      </c>
      <c r="K97" s="2" t="s">
        <v>32</v>
      </c>
      <c r="L97" s="2">
        <v>20</v>
      </c>
      <c r="M97" t="e">
        <f>VLOOKUP(B97,[1]报销单!$D:$G,4,0)</f>
        <v>#N/A</v>
      </c>
    </row>
    <row r="98" ht="40.5" spans="1:13">
      <c r="A98" s="2">
        <v>20</v>
      </c>
      <c r="B98" s="2" t="s">
        <v>216</v>
      </c>
      <c r="C98" s="2" t="s">
        <v>12</v>
      </c>
      <c r="D98" s="2"/>
      <c r="E98" s="2">
        <v>13</v>
      </c>
      <c r="F98" s="2" t="s">
        <v>217</v>
      </c>
      <c r="G98" s="2">
        <f t="shared" si="1"/>
        <v>10.49</v>
      </c>
      <c r="H98" s="2">
        <v>-2.51</v>
      </c>
      <c r="I98" s="2">
        <v>15.51</v>
      </c>
      <c r="J98" s="2" t="s">
        <v>14</v>
      </c>
      <c r="K98" s="2" t="s">
        <v>32</v>
      </c>
      <c r="L98" s="2">
        <v>20</v>
      </c>
      <c r="M98" t="e">
        <f>VLOOKUP(B98,[1]报销单!$D:$G,4,0)</f>
        <v>#N/A</v>
      </c>
    </row>
    <row r="99" ht="40.5" spans="1:13">
      <c r="A99" s="2">
        <v>20</v>
      </c>
      <c r="B99" s="2" t="s">
        <v>218</v>
      </c>
      <c r="C99" s="2" t="s">
        <v>12</v>
      </c>
      <c r="D99" s="2"/>
      <c r="E99" s="2">
        <v>13</v>
      </c>
      <c r="F99" s="2" t="s">
        <v>219</v>
      </c>
      <c r="G99" s="2">
        <f t="shared" si="1"/>
        <v>13</v>
      </c>
      <c r="H99" s="2">
        <v>0</v>
      </c>
      <c r="I99" s="2">
        <v>13</v>
      </c>
      <c r="J99" s="2" t="s">
        <v>14</v>
      </c>
      <c r="K99" s="2" t="s">
        <v>32</v>
      </c>
      <c r="L99" s="2">
        <v>20</v>
      </c>
      <c r="M99" t="e">
        <f>VLOOKUP(B99,[1]报销单!$D:$G,4,0)</f>
        <v>#N/A</v>
      </c>
    </row>
    <row r="100" ht="40.5" spans="1:13">
      <c r="A100" s="2">
        <v>20</v>
      </c>
      <c r="B100" s="2" t="s">
        <v>220</v>
      </c>
      <c r="C100" s="2" t="s">
        <v>12</v>
      </c>
      <c r="D100" s="2"/>
      <c r="E100" s="2">
        <v>26</v>
      </c>
      <c r="F100" s="2" t="s">
        <v>221</v>
      </c>
      <c r="G100" s="2">
        <f t="shared" si="1"/>
        <v>26</v>
      </c>
      <c r="H100" s="2">
        <v>0</v>
      </c>
      <c r="I100" s="2">
        <v>26</v>
      </c>
      <c r="J100" s="2" t="s">
        <v>14</v>
      </c>
      <c r="K100" s="2" t="s">
        <v>32</v>
      </c>
      <c r="L100" s="2">
        <v>20</v>
      </c>
      <c r="M100" t="e">
        <f>VLOOKUP(B100,[1]报销单!$D:$G,4,0)</f>
        <v>#N/A</v>
      </c>
    </row>
    <row r="101" ht="40.5" spans="1:13">
      <c r="A101" s="2">
        <v>20</v>
      </c>
      <c r="B101" s="2" t="s">
        <v>222</v>
      </c>
      <c r="C101" s="2" t="s">
        <v>12</v>
      </c>
      <c r="D101" s="2"/>
      <c r="E101" s="2">
        <v>26</v>
      </c>
      <c r="F101" s="2" t="s">
        <v>223</v>
      </c>
      <c r="G101" s="2">
        <f t="shared" si="1"/>
        <v>26</v>
      </c>
      <c r="H101" s="2">
        <v>0</v>
      </c>
      <c r="I101" s="2">
        <v>26</v>
      </c>
      <c r="J101" s="2" t="s">
        <v>14</v>
      </c>
      <c r="K101" s="2" t="s">
        <v>32</v>
      </c>
      <c r="L101" s="2">
        <v>20</v>
      </c>
      <c r="M101" t="e">
        <f>VLOOKUP(B101,[1]报销单!$D:$G,4,0)</f>
        <v>#N/A</v>
      </c>
    </row>
    <row r="102" ht="40.5" spans="1:13">
      <c r="A102" s="2">
        <v>20</v>
      </c>
      <c r="B102" s="2" t="s">
        <v>224</v>
      </c>
      <c r="C102" s="2" t="s">
        <v>12</v>
      </c>
      <c r="D102" s="2"/>
      <c r="E102" s="2">
        <v>13</v>
      </c>
      <c r="F102" s="2" t="s">
        <v>225</v>
      </c>
      <c r="G102" s="2">
        <f t="shared" si="1"/>
        <v>13</v>
      </c>
      <c r="H102" s="2">
        <v>0</v>
      </c>
      <c r="I102" s="2">
        <v>13</v>
      </c>
      <c r="J102" s="2" t="s">
        <v>14</v>
      </c>
      <c r="K102" s="2" t="s">
        <v>32</v>
      </c>
      <c r="L102" s="2">
        <v>20</v>
      </c>
      <c r="M102" t="e">
        <f>VLOOKUP(B102,[1]报销单!$D:$G,4,0)</f>
        <v>#N/A</v>
      </c>
    </row>
    <row r="103" ht="40.5" spans="1:13">
      <c r="A103" s="2">
        <v>20</v>
      </c>
      <c r="B103" s="2" t="s">
        <v>226</v>
      </c>
      <c r="C103" s="2" t="s">
        <v>12</v>
      </c>
      <c r="D103" s="2"/>
      <c r="E103" s="2">
        <v>13</v>
      </c>
      <c r="F103" s="2" t="s">
        <v>227</v>
      </c>
      <c r="G103" s="2">
        <f t="shared" si="1"/>
        <v>10.49</v>
      </c>
      <c r="H103" s="2">
        <v>-2.51</v>
      </c>
      <c r="I103" s="2">
        <v>15.51</v>
      </c>
      <c r="J103" s="2" t="s">
        <v>14</v>
      </c>
      <c r="K103" s="2" t="s">
        <v>32</v>
      </c>
      <c r="L103" s="2">
        <v>20</v>
      </c>
      <c r="M103" t="e">
        <f>VLOOKUP(B103,[1]报销单!$D:$G,4,0)</f>
        <v>#N/A</v>
      </c>
    </row>
    <row r="104" ht="40.5" spans="1:13">
      <c r="A104" s="2">
        <v>20</v>
      </c>
      <c r="B104" s="2" t="s">
        <v>228</v>
      </c>
      <c r="C104" s="2" t="s">
        <v>12</v>
      </c>
      <c r="D104" s="2"/>
      <c r="E104" s="2">
        <v>13</v>
      </c>
      <c r="F104" s="2" t="s">
        <v>229</v>
      </c>
      <c r="G104" s="2">
        <f t="shared" si="1"/>
        <v>13</v>
      </c>
      <c r="H104" s="2">
        <v>0</v>
      </c>
      <c r="I104" s="2">
        <v>13</v>
      </c>
      <c r="J104" s="2" t="s">
        <v>14</v>
      </c>
      <c r="K104" s="2" t="s">
        <v>32</v>
      </c>
      <c r="L104" s="2">
        <v>20</v>
      </c>
      <c r="M104" t="e">
        <f>VLOOKUP(B104,[1]报销单!$D:$G,4,0)</f>
        <v>#N/A</v>
      </c>
    </row>
    <row r="105" ht="40.5" spans="1:13">
      <c r="A105" s="2">
        <v>20</v>
      </c>
      <c r="B105" s="2" t="s">
        <v>230</v>
      </c>
      <c r="C105" s="2" t="s">
        <v>12</v>
      </c>
      <c r="D105" s="2"/>
      <c r="E105" s="2">
        <v>13</v>
      </c>
      <c r="F105" s="2" t="s">
        <v>231</v>
      </c>
      <c r="G105" s="2">
        <f t="shared" si="1"/>
        <v>13</v>
      </c>
      <c r="H105" s="2">
        <v>0</v>
      </c>
      <c r="I105" s="2">
        <v>13</v>
      </c>
      <c r="J105" s="2" t="s">
        <v>14</v>
      </c>
      <c r="K105" s="2" t="s">
        <v>32</v>
      </c>
      <c r="L105" s="2">
        <v>20</v>
      </c>
      <c r="M105" t="e">
        <f>VLOOKUP(B105,[1]报销单!$D:$G,4,0)</f>
        <v>#N/A</v>
      </c>
    </row>
    <row r="106" ht="40.5" spans="1:13">
      <c r="A106" s="2">
        <v>20</v>
      </c>
      <c r="B106" s="2" t="s">
        <v>232</v>
      </c>
      <c r="C106" s="2" t="s">
        <v>12</v>
      </c>
      <c r="D106" s="2"/>
      <c r="E106" s="2">
        <v>13</v>
      </c>
      <c r="F106" s="2" t="s">
        <v>233</v>
      </c>
      <c r="G106" s="2">
        <f t="shared" si="1"/>
        <v>13</v>
      </c>
      <c r="H106" s="2">
        <v>0</v>
      </c>
      <c r="I106" s="2">
        <v>13</v>
      </c>
      <c r="J106" s="2" t="s">
        <v>14</v>
      </c>
      <c r="K106" s="2" t="s">
        <v>32</v>
      </c>
      <c r="L106" s="2">
        <v>20</v>
      </c>
      <c r="M106" t="e">
        <f>VLOOKUP(B106,[1]报销单!$D:$G,4,0)</f>
        <v>#N/A</v>
      </c>
    </row>
    <row r="107" ht="40.5" spans="1:13">
      <c r="A107" s="2">
        <v>20</v>
      </c>
      <c r="B107" s="2" t="s">
        <v>234</v>
      </c>
      <c r="C107" s="2" t="s">
        <v>12</v>
      </c>
      <c r="D107" s="2"/>
      <c r="E107" s="2">
        <v>26</v>
      </c>
      <c r="F107" s="2" t="s">
        <v>235</v>
      </c>
      <c r="G107" s="2">
        <f t="shared" si="1"/>
        <v>20.98</v>
      </c>
      <c r="H107" s="2">
        <v>-5.02</v>
      </c>
      <c r="I107" s="2">
        <v>31.02</v>
      </c>
      <c r="J107" s="2" t="s">
        <v>14</v>
      </c>
      <c r="K107" s="2" t="s">
        <v>32</v>
      </c>
      <c r="L107" s="2">
        <v>20</v>
      </c>
      <c r="M107" t="e">
        <f>VLOOKUP(B107,[1]报销单!$D:$G,4,0)</f>
        <v>#N/A</v>
      </c>
    </row>
    <row r="108" ht="40.5" spans="1:13">
      <c r="A108" s="2">
        <v>20</v>
      </c>
      <c r="B108" s="2" t="s">
        <v>236</v>
      </c>
      <c r="C108" s="2" t="s">
        <v>12</v>
      </c>
      <c r="D108" s="2"/>
      <c r="E108" s="2">
        <v>26</v>
      </c>
      <c r="F108" s="2" t="s">
        <v>237</v>
      </c>
      <c r="G108" s="2">
        <f t="shared" si="1"/>
        <v>20.98</v>
      </c>
      <c r="H108" s="2">
        <v>-5.02</v>
      </c>
      <c r="I108" s="2">
        <v>31.02</v>
      </c>
      <c r="J108" s="2" t="s">
        <v>14</v>
      </c>
      <c r="K108" s="2" t="s">
        <v>32</v>
      </c>
      <c r="L108" s="2">
        <v>20</v>
      </c>
      <c r="M108" t="e">
        <f>VLOOKUP(B108,[1]报销单!$D:$G,4,0)</f>
        <v>#N/A</v>
      </c>
    </row>
    <row r="109" ht="40.5" spans="1:13">
      <c r="A109" s="2">
        <v>20</v>
      </c>
      <c r="B109" s="2" t="s">
        <v>238</v>
      </c>
      <c r="C109" s="2" t="s">
        <v>12</v>
      </c>
      <c r="D109" s="2"/>
      <c r="E109" s="2">
        <v>26</v>
      </c>
      <c r="F109" s="2" t="s">
        <v>239</v>
      </c>
      <c r="G109" s="2">
        <f t="shared" si="1"/>
        <v>20.98</v>
      </c>
      <c r="H109" s="2">
        <v>-5.02</v>
      </c>
      <c r="I109" s="2">
        <v>31.02</v>
      </c>
      <c r="J109" s="2" t="s">
        <v>14</v>
      </c>
      <c r="K109" s="2" t="s">
        <v>32</v>
      </c>
      <c r="L109" s="2">
        <v>20</v>
      </c>
      <c r="M109" t="e">
        <f>VLOOKUP(B109,[1]报销单!$D:$G,4,0)</f>
        <v>#N/A</v>
      </c>
    </row>
    <row r="110" ht="40.5" spans="1:13">
      <c r="A110" s="2">
        <v>20</v>
      </c>
      <c r="B110" s="2" t="s">
        <v>240</v>
      </c>
      <c r="C110" s="2" t="s">
        <v>12</v>
      </c>
      <c r="D110" s="2"/>
      <c r="E110" s="2">
        <v>13</v>
      </c>
      <c r="F110" s="2" t="s">
        <v>241</v>
      </c>
      <c r="G110" s="2">
        <f t="shared" si="1"/>
        <v>10.49</v>
      </c>
      <c r="H110" s="2">
        <v>-2.51</v>
      </c>
      <c r="I110" s="2">
        <v>15.51</v>
      </c>
      <c r="J110" s="2" t="s">
        <v>14</v>
      </c>
      <c r="K110" s="2" t="s">
        <v>32</v>
      </c>
      <c r="L110" s="2">
        <v>20</v>
      </c>
      <c r="M110" t="e">
        <f>VLOOKUP(B110,[1]报销单!$D:$G,4,0)</f>
        <v>#N/A</v>
      </c>
    </row>
    <row r="111" ht="40.5" spans="1:13">
      <c r="A111" s="2">
        <v>20</v>
      </c>
      <c r="B111" s="2" t="s">
        <v>242</v>
      </c>
      <c r="C111" s="2" t="s">
        <v>12</v>
      </c>
      <c r="D111" s="2"/>
      <c r="E111" s="2">
        <v>26</v>
      </c>
      <c r="F111" s="2" t="s">
        <v>243</v>
      </c>
      <c r="G111" s="2">
        <f t="shared" si="1"/>
        <v>26</v>
      </c>
      <c r="H111" s="2">
        <v>0</v>
      </c>
      <c r="I111" s="2">
        <v>26</v>
      </c>
      <c r="J111" s="2" t="s">
        <v>14</v>
      </c>
      <c r="K111" s="2" t="s">
        <v>32</v>
      </c>
      <c r="L111" s="2">
        <v>20</v>
      </c>
      <c r="M111" t="e">
        <f>VLOOKUP(B111,[1]报销单!$D:$G,4,0)</f>
        <v>#N/A</v>
      </c>
    </row>
    <row r="112" ht="40.5" spans="1:13">
      <c r="A112" s="2">
        <v>20</v>
      </c>
      <c r="B112" s="2" t="s">
        <v>244</v>
      </c>
      <c r="C112" s="2" t="s">
        <v>12</v>
      </c>
      <c r="D112" s="2"/>
      <c r="E112" s="2">
        <v>26</v>
      </c>
      <c r="F112" s="2" t="s">
        <v>245</v>
      </c>
      <c r="G112" s="2">
        <f t="shared" si="1"/>
        <v>20.98</v>
      </c>
      <c r="H112" s="2">
        <v>-5.02</v>
      </c>
      <c r="I112" s="2">
        <v>31.02</v>
      </c>
      <c r="J112" s="2" t="s">
        <v>14</v>
      </c>
      <c r="K112" s="2" t="s">
        <v>32</v>
      </c>
      <c r="L112" s="2">
        <v>20</v>
      </c>
      <c r="M112" t="e">
        <f>VLOOKUP(B112,[1]报销单!$D:$G,4,0)</f>
        <v>#N/A</v>
      </c>
    </row>
    <row r="113" ht="40.5" spans="1:13">
      <c r="A113" s="2">
        <v>20</v>
      </c>
      <c r="B113" s="2" t="s">
        <v>246</v>
      </c>
      <c r="C113" s="2" t="s">
        <v>12</v>
      </c>
      <c r="D113" s="2"/>
      <c r="E113" s="2">
        <v>13</v>
      </c>
      <c r="F113" s="2" t="s">
        <v>247</v>
      </c>
      <c r="G113" s="2">
        <f t="shared" si="1"/>
        <v>13</v>
      </c>
      <c r="H113" s="2">
        <v>0</v>
      </c>
      <c r="I113" s="2">
        <v>13</v>
      </c>
      <c r="J113" s="2" t="s">
        <v>14</v>
      </c>
      <c r="K113" s="2" t="s">
        <v>32</v>
      </c>
      <c r="L113" s="2">
        <v>20</v>
      </c>
      <c r="M113" t="e">
        <f>VLOOKUP(B113,[1]报销单!$D:$G,4,0)</f>
        <v>#N/A</v>
      </c>
    </row>
    <row r="114" ht="40.5" spans="1:13">
      <c r="A114" s="2">
        <v>20</v>
      </c>
      <c r="B114" s="2" t="s">
        <v>248</v>
      </c>
      <c r="C114" s="2" t="s">
        <v>12</v>
      </c>
      <c r="D114" s="2"/>
      <c r="E114" s="2">
        <v>26</v>
      </c>
      <c r="F114" s="2" t="s">
        <v>249</v>
      </c>
      <c r="G114" s="2">
        <f t="shared" si="1"/>
        <v>20.98</v>
      </c>
      <c r="H114" s="2">
        <v>-5.02</v>
      </c>
      <c r="I114" s="2">
        <v>31.02</v>
      </c>
      <c r="J114" s="2" t="s">
        <v>14</v>
      </c>
      <c r="K114" s="2" t="s">
        <v>32</v>
      </c>
      <c r="L114" s="2">
        <v>20</v>
      </c>
      <c r="M114" t="e">
        <f>VLOOKUP(B114,[1]报销单!$D:$G,4,0)</f>
        <v>#N/A</v>
      </c>
    </row>
    <row r="115" ht="40.5" spans="1:13">
      <c r="A115" s="2">
        <v>20</v>
      </c>
      <c r="B115" s="2" t="s">
        <v>250</v>
      </c>
      <c r="C115" s="2" t="s">
        <v>12</v>
      </c>
      <c r="D115" s="2"/>
      <c r="E115" s="2">
        <v>13</v>
      </c>
      <c r="F115" s="2" t="s">
        <v>251</v>
      </c>
      <c r="G115" s="2">
        <f t="shared" si="1"/>
        <v>10.49</v>
      </c>
      <c r="H115" s="2">
        <v>-2.51</v>
      </c>
      <c r="I115" s="2">
        <v>15.51</v>
      </c>
      <c r="J115" s="2" t="s">
        <v>14</v>
      </c>
      <c r="K115" s="2" t="s">
        <v>32</v>
      </c>
      <c r="L115" s="2">
        <v>20</v>
      </c>
      <c r="M115" t="e">
        <f>VLOOKUP(B115,[1]报销单!$D:$G,4,0)</f>
        <v>#N/A</v>
      </c>
    </row>
    <row r="116" ht="40.5" spans="1:13">
      <c r="A116" s="2">
        <v>20</v>
      </c>
      <c r="B116" s="2" t="s">
        <v>252</v>
      </c>
      <c r="C116" s="2" t="s">
        <v>12</v>
      </c>
      <c r="D116" s="2"/>
      <c r="E116" s="2">
        <v>26</v>
      </c>
      <c r="F116" s="2" t="s">
        <v>253</v>
      </c>
      <c r="G116" s="2">
        <f t="shared" si="1"/>
        <v>20.98</v>
      </c>
      <c r="H116" s="2">
        <v>-5.02</v>
      </c>
      <c r="I116" s="2">
        <v>31.02</v>
      </c>
      <c r="J116" s="2" t="s">
        <v>14</v>
      </c>
      <c r="K116" s="2" t="s">
        <v>32</v>
      </c>
      <c r="L116" s="2">
        <v>20</v>
      </c>
      <c r="M116" t="e">
        <f>VLOOKUP(B116,[1]报销单!$D:$G,4,0)</f>
        <v>#N/A</v>
      </c>
    </row>
    <row r="117" ht="40.5" spans="1:13">
      <c r="A117" s="2">
        <v>20</v>
      </c>
      <c r="B117" s="2" t="s">
        <v>254</v>
      </c>
      <c r="C117" s="2" t="s">
        <v>12</v>
      </c>
      <c r="D117" s="2"/>
      <c r="E117" s="2">
        <v>13</v>
      </c>
      <c r="F117" s="2" t="s">
        <v>255</v>
      </c>
      <c r="G117" s="2">
        <f t="shared" si="1"/>
        <v>10.49</v>
      </c>
      <c r="H117" s="2">
        <v>-2.51</v>
      </c>
      <c r="I117" s="2">
        <v>15.51</v>
      </c>
      <c r="J117" s="2" t="s">
        <v>14</v>
      </c>
      <c r="K117" s="2" t="s">
        <v>32</v>
      </c>
      <c r="L117" s="2">
        <v>20</v>
      </c>
      <c r="M117" t="e">
        <f>VLOOKUP(B117,[1]报销单!$D:$G,4,0)</f>
        <v>#N/A</v>
      </c>
    </row>
    <row r="118" ht="40.5" spans="1:13">
      <c r="A118" s="2">
        <v>20</v>
      </c>
      <c r="B118" s="2" t="s">
        <v>256</v>
      </c>
      <c r="C118" s="2" t="s">
        <v>12</v>
      </c>
      <c r="D118" s="2"/>
      <c r="E118" s="2">
        <v>13</v>
      </c>
      <c r="F118" s="2" t="s">
        <v>257</v>
      </c>
      <c r="G118" s="2">
        <f t="shared" si="1"/>
        <v>10.49</v>
      </c>
      <c r="H118" s="2">
        <v>-2.51</v>
      </c>
      <c r="I118" s="2">
        <v>15.51</v>
      </c>
      <c r="J118" s="2" t="s">
        <v>14</v>
      </c>
      <c r="K118" s="2" t="s">
        <v>32</v>
      </c>
      <c r="L118" s="2">
        <v>20</v>
      </c>
      <c r="M118" t="e">
        <f>VLOOKUP(B118,[1]报销单!$D:$G,4,0)</f>
        <v>#N/A</v>
      </c>
    </row>
    <row r="119" ht="27" spans="1:13">
      <c r="A119" s="2">
        <v>21</v>
      </c>
      <c r="B119" s="2" t="s">
        <v>258</v>
      </c>
      <c r="C119" s="2" t="s">
        <v>12</v>
      </c>
      <c r="D119" s="2"/>
      <c r="E119" s="2">
        <v>39</v>
      </c>
      <c r="F119" s="2" t="s">
        <v>259</v>
      </c>
      <c r="G119" s="2">
        <f t="shared" si="1"/>
        <v>39</v>
      </c>
      <c r="H119" s="2">
        <v>0</v>
      </c>
      <c r="I119" s="2">
        <v>39</v>
      </c>
      <c r="J119" s="2" t="s">
        <v>14</v>
      </c>
      <c r="K119" s="2" t="s">
        <v>59</v>
      </c>
      <c r="L119" s="2">
        <v>21</v>
      </c>
      <c r="M119" t="e">
        <f>VLOOKUP(B119,[1]报销单!$D:$G,4,0)</f>
        <v>#N/A</v>
      </c>
    </row>
    <row r="120" ht="27" spans="1:13">
      <c r="A120" s="2">
        <v>21</v>
      </c>
      <c r="B120" s="2" t="s">
        <v>260</v>
      </c>
      <c r="C120" s="2" t="s">
        <v>12</v>
      </c>
      <c r="D120" s="2"/>
      <c r="E120" s="2">
        <v>39</v>
      </c>
      <c r="F120" s="2" t="s">
        <v>261</v>
      </c>
      <c r="G120" s="2">
        <f t="shared" si="1"/>
        <v>39</v>
      </c>
      <c r="H120" s="2">
        <v>0</v>
      </c>
      <c r="I120" s="2">
        <v>39</v>
      </c>
      <c r="J120" s="2" t="s">
        <v>14</v>
      </c>
      <c r="K120" s="2" t="s">
        <v>59</v>
      </c>
      <c r="L120" s="2">
        <v>21</v>
      </c>
      <c r="M120" t="e">
        <f>VLOOKUP(B120,[1]报销单!$D:$G,4,0)</f>
        <v>#N/A</v>
      </c>
    </row>
    <row r="121" ht="27" spans="1:13">
      <c r="A121" s="2">
        <v>21</v>
      </c>
      <c r="B121" s="2" t="s">
        <v>262</v>
      </c>
      <c r="C121" s="2" t="s">
        <v>12</v>
      </c>
      <c r="D121" s="2"/>
      <c r="E121" s="2">
        <v>39</v>
      </c>
      <c r="F121" s="2" t="s">
        <v>263</v>
      </c>
      <c r="G121" s="2">
        <f t="shared" si="1"/>
        <v>39</v>
      </c>
      <c r="H121" s="2">
        <v>0</v>
      </c>
      <c r="I121" s="2">
        <v>39</v>
      </c>
      <c r="J121" s="2" t="s">
        <v>14</v>
      </c>
      <c r="K121" s="2" t="s">
        <v>59</v>
      </c>
      <c r="L121" s="2">
        <v>21</v>
      </c>
      <c r="M121" t="e">
        <f>VLOOKUP(B121,[1]报销单!$D:$G,4,0)</f>
        <v>#N/A</v>
      </c>
    </row>
    <row r="122" ht="40.5" spans="1:13">
      <c r="A122" s="2">
        <v>21</v>
      </c>
      <c r="B122" s="2" t="s">
        <v>264</v>
      </c>
      <c r="C122" s="2" t="s">
        <v>12</v>
      </c>
      <c r="D122" s="2"/>
      <c r="E122" s="2">
        <v>39</v>
      </c>
      <c r="F122" s="2" t="s">
        <v>265</v>
      </c>
      <c r="G122" s="2">
        <f t="shared" si="1"/>
        <v>39</v>
      </c>
      <c r="H122" s="2">
        <v>0</v>
      </c>
      <c r="I122" s="2">
        <v>39</v>
      </c>
      <c r="J122" s="2" t="s">
        <v>14</v>
      </c>
      <c r="K122" s="2" t="s">
        <v>62</v>
      </c>
      <c r="L122" s="2">
        <v>21</v>
      </c>
      <c r="M122" t="e">
        <f>VLOOKUP(B122,[1]报销单!$D:$G,4,0)</f>
        <v>#N/A</v>
      </c>
    </row>
    <row r="123" ht="27" spans="1:13">
      <c r="A123" s="2">
        <v>21</v>
      </c>
      <c r="B123" s="2" t="s">
        <v>266</v>
      </c>
      <c r="C123" s="2" t="s">
        <v>12</v>
      </c>
      <c r="D123" s="2"/>
      <c r="E123" s="2">
        <v>13</v>
      </c>
      <c r="F123" s="2" t="s">
        <v>267</v>
      </c>
      <c r="G123" s="2">
        <f t="shared" si="1"/>
        <v>13</v>
      </c>
      <c r="H123" s="2">
        <v>0</v>
      </c>
      <c r="I123" s="2">
        <v>13</v>
      </c>
      <c r="J123" s="2" t="s">
        <v>14</v>
      </c>
      <c r="K123" s="2" t="s">
        <v>59</v>
      </c>
      <c r="L123" s="2">
        <v>21</v>
      </c>
      <c r="M123" t="e">
        <f>VLOOKUP(B123,[1]报销单!$D:$G,4,0)</f>
        <v>#N/A</v>
      </c>
    </row>
    <row r="124" ht="27" spans="1:13">
      <c r="A124" s="2">
        <v>21</v>
      </c>
      <c r="B124" s="2" t="s">
        <v>268</v>
      </c>
      <c r="C124" s="2" t="s">
        <v>12</v>
      </c>
      <c r="D124" s="2"/>
      <c r="E124" s="2">
        <v>26</v>
      </c>
      <c r="F124" s="2" t="s">
        <v>269</v>
      </c>
      <c r="G124" s="2">
        <f t="shared" si="1"/>
        <v>26</v>
      </c>
      <c r="H124" s="2">
        <v>0</v>
      </c>
      <c r="I124" s="2">
        <v>26</v>
      </c>
      <c r="J124" s="2" t="s">
        <v>14</v>
      </c>
      <c r="K124" s="2" t="s">
        <v>59</v>
      </c>
      <c r="L124" s="2">
        <v>21</v>
      </c>
      <c r="M124" t="e">
        <f>VLOOKUP(B124,[1]报销单!$D:$G,4,0)</f>
        <v>#N/A</v>
      </c>
    </row>
    <row r="125" ht="27" spans="1:13">
      <c r="A125" s="2">
        <v>21</v>
      </c>
      <c r="B125" s="2" t="s">
        <v>270</v>
      </c>
      <c r="C125" s="2" t="s">
        <v>12</v>
      </c>
      <c r="D125" s="2"/>
      <c r="E125" s="2">
        <v>39</v>
      </c>
      <c r="F125" s="2" t="s">
        <v>271</v>
      </c>
      <c r="G125" s="2">
        <f t="shared" si="1"/>
        <v>39</v>
      </c>
      <c r="H125" s="2">
        <v>0</v>
      </c>
      <c r="I125" s="2">
        <v>39</v>
      </c>
      <c r="J125" s="2" t="s">
        <v>14</v>
      </c>
      <c r="K125" s="2" t="s">
        <v>59</v>
      </c>
      <c r="L125" s="2">
        <v>21</v>
      </c>
      <c r="M125" t="e">
        <f>VLOOKUP(B125,[1]报销单!$D:$G,4,0)</f>
        <v>#N/A</v>
      </c>
    </row>
    <row r="126" ht="40.5" spans="1:13">
      <c r="A126" s="2">
        <v>21</v>
      </c>
      <c r="B126" s="2" t="s">
        <v>272</v>
      </c>
      <c r="C126" s="2" t="s">
        <v>12</v>
      </c>
      <c r="D126" s="2"/>
      <c r="E126" s="2">
        <v>26</v>
      </c>
      <c r="F126" s="2" t="s">
        <v>273</v>
      </c>
      <c r="G126" s="2">
        <f t="shared" si="1"/>
        <v>26</v>
      </c>
      <c r="H126" s="2">
        <v>0</v>
      </c>
      <c r="I126" s="2">
        <v>26</v>
      </c>
      <c r="J126" s="2" t="s">
        <v>14</v>
      </c>
      <c r="K126" s="2" t="s">
        <v>62</v>
      </c>
      <c r="L126" s="2">
        <v>21</v>
      </c>
      <c r="M126" t="e">
        <f>VLOOKUP(B126,[1]报销单!$D:$G,4,0)</f>
        <v>#N/A</v>
      </c>
    </row>
    <row r="127" ht="40.5" spans="1:13">
      <c r="A127" s="2">
        <v>21</v>
      </c>
      <c r="B127" s="2" t="s">
        <v>274</v>
      </c>
      <c r="C127" s="2" t="s">
        <v>12</v>
      </c>
      <c r="D127" s="2"/>
      <c r="E127" s="2">
        <v>39</v>
      </c>
      <c r="F127" s="2" t="s">
        <v>275</v>
      </c>
      <c r="G127" s="2">
        <f t="shared" si="1"/>
        <v>78</v>
      </c>
      <c r="H127" s="2">
        <v>39</v>
      </c>
      <c r="I127" s="2">
        <v>0</v>
      </c>
      <c r="J127" s="2" t="s">
        <v>14</v>
      </c>
      <c r="K127" s="2" t="s">
        <v>62</v>
      </c>
      <c r="L127" s="2">
        <v>21</v>
      </c>
      <c r="M127" t="e">
        <f>VLOOKUP(B127,[1]报销单!$D:$G,4,0)</f>
        <v>#N/A</v>
      </c>
    </row>
    <row r="128" ht="40.5" spans="1:13">
      <c r="A128" s="2">
        <v>22</v>
      </c>
      <c r="B128" s="2" t="s">
        <v>276</v>
      </c>
      <c r="C128" s="2" t="s">
        <v>12</v>
      </c>
      <c r="D128" s="2"/>
      <c r="E128" s="2">
        <v>26</v>
      </c>
      <c r="F128" s="2" t="s">
        <v>277</v>
      </c>
      <c r="G128" s="2">
        <f t="shared" si="1"/>
        <v>26</v>
      </c>
      <c r="H128" s="2">
        <v>0</v>
      </c>
      <c r="I128" s="2">
        <v>26</v>
      </c>
      <c r="J128" s="2" t="s">
        <v>14</v>
      </c>
      <c r="K128" s="2" t="s">
        <v>62</v>
      </c>
      <c r="L128" s="2">
        <v>22</v>
      </c>
      <c r="M128" t="e">
        <f>VLOOKUP(B128,[1]报销单!$D:$G,4,0)</f>
        <v>#N/A</v>
      </c>
    </row>
    <row r="129" ht="27" spans="1:13">
      <c r="A129" s="2">
        <v>22</v>
      </c>
      <c r="B129" s="2" t="s">
        <v>278</v>
      </c>
      <c r="C129" s="2" t="s">
        <v>12</v>
      </c>
      <c r="D129" s="2"/>
      <c r="E129" s="2">
        <v>39</v>
      </c>
      <c r="F129" s="2" t="s">
        <v>279</v>
      </c>
      <c r="G129" s="2">
        <f t="shared" si="1"/>
        <v>39</v>
      </c>
      <c r="H129" s="2">
        <v>0</v>
      </c>
      <c r="I129" s="2">
        <v>39</v>
      </c>
      <c r="J129" s="2" t="s">
        <v>14</v>
      </c>
      <c r="K129" s="2" t="s">
        <v>109</v>
      </c>
      <c r="L129" s="2">
        <v>22</v>
      </c>
      <c r="M129" t="e">
        <f>VLOOKUP(B129,[1]报销单!$D:$G,4,0)</f>
        <v>#N/A</v>
      </c>
    </row>
    <row r="130" ht="27" spans="1:13">
      <c r="A130" s="2">
        <v>22</v>
      </c>
      <c r="B130" s="2" t="s">
        <v>280</v>
      </c>
      <c r="C130" s="2" t="s">
        <v>12</v>
      </c>
      <c r="D130" s="2"/>
      <c r="E130" s="2">
        <v>26</v>
      </c>
      <c r="F130" s="2" t="s">
        <v>281</v>
      </c>
      <c r="G130" s="2">
        <f t="shared" ref="G130:G193" si="2">E130+H130</f>
        <v>26</v>
      </c>
      <c r="H130" s="2">
        <v>0</v>
      </c>
      <c r="I130" s="2">
        <v>26</v>
      </c>
      <c r="J130" s="2" t="s">
        <v>14</v>
      </c>
      <c r="K130" s="2" t="s">
        <v>15</v>
      </c>
      <c r="L130" s="2">
        <v>22</v>
      </c>
      <c r="M130" t="e">
        <f>VLOOKUP(B130,[1]报销单!$D:$G,4,0)</f>
        <v>#N/A</v>
      </c>
    </row>
    <row r="131" ht="27" spans="1:13">
      <c r="A131" s="2">
        <v>22</v>
      </c>
      <c r="B131" s="2" t="s">
        <v>282</v>
      </c>
      <c r="C131" s="2" t="s">
        <v>12</v>
      </c>
      <c r="D131" s="2"/>
      <c r="E131" s="2">
        <v>39</v>
      </c>
      <c r="F131" s="2" t="s">
        <v>283</v>
      </c>
      <c r="G131" s="2">
        <f t="shared" si="2"/>
        <v>39</v>
      </c>
      <c r="H131" s="2">
        <v>0</v>
      </c>
      <c r="I131" s="2">
        <v>39</v>
      </c>
      <c r="J131" s="2" t="s">
        <v>14</v>
      </c>
      <c r="K131" s="2" t="s">
        <v>15</v>
      </c>
      <c r="L131" s="2">
        <v>22</v>
      </c>
      <c r="M131" t="e">
        <f>VLOOKUP(B131,[1]报销单!$D:$G,4,0)</f>
        <v>#N/A</v>
      </c>
    </row>
    <row r="132" ht="27" spans="1:13">
      <c r="A132" s="2">
        <v>22</v>
      </c>
      <c r="B132" s="2" t="s">
        <v>284</v>
      </c>
      <c r="C132" s="2" t="s">
        <v>12</v>
      </c>
      <c r="D132" s="2"/>
      <c r="E132" s="2">
        <v>26</v>
      </c>
      <c r="F132" s="2" t="s">
        <v>285</v>
      </c>
      <c r="G132" s="2">
        <f t="shared" si="2"/>
        <v>26</v>
      </c>
      <c r="H132" s="2">
        <v>0</v>
      </c>
      <c r="I132" s="2">
        <v>26</v>
      </c>
      <c r="J132" s="2" t="s">
        <v>14</v>
      </c>
      <c r="K132" s="2" t="s">
        <v>15</v>
      </c>
      <c r="L132" s="2">
        <v>22</v>
      </c>
      <c r="M132" t="e">
        <f>VLOOKUP(B132,[1]报销单!$D:$G,4,0)</f>
        <v>#N/A</v>
      </c>
    </row>
    <row r="133" ht="27" spans="1:13">
      <c r="A133" s="2">
        <v>22</v>
      </c>
      <c r="B133" s="2" t="s">
        <v>286</v>
      </c>
      <c r="C133" s="2" t="s">
        <v>12</v>
      </c>
      <c r="D133" s="2"/>
      <c r="E133" s="2">
        <v>13</v>
      </c>
      <c r="F133" s="2" t="s">
        <v>287</v>
      </c>
      <c r="G133" s="2">
        <f t="shared" si="2"/>
        <v>13</v>
      </c>
      <c r="H133" s="2">
        <v>0</v>
      </c>
      <c r="I133" s="2">
        <v>13</v>
      </c>
      <c r="J133" s="2" t="s">
        <v>14</v>
      </c>
      <c r="K133" s="2" t="s">
        <v>15</v>
      </c>
      <c r="L133" s="2">
        <v>22</v>
      </c>
      <c r="M133" t="e">
        <f>VLOOKUP(B133,[1]报销单!$D:$G,4,0)</f>
        <v>#N/A</v>
      </c>
    </row>
    <row r="134" ht="40.5" spans="1:13">
      <c r="A134" s="2">
        <v>22</v>
      </c>
      <c r="B134" s="2" t="s">
        <v>288</v>
      </c>
      <c r="C134" s="2" t="s">
        <v>12</v>
      </c>
      <c r="D134" s="2"/>
      <c r="E134" s="2">
        <v>13</v>
      </c>
      <c r="F134" s="2" t="s">
        <v>289</v>
      </c>
      <c r="G134" s="2">
        <f t="shared" si="2"/>
        <v>10.49</v>
      </c>
      <c r="H134" s="2">
        <v>-2.51</v>
      </c>
      <c r="I134" s="2">
        <v>15.51</v>
      </c>
      <c r="J134" s="2" t="s">
        <v>14</v>
      </c>
      <c r="K134" s="2" t="s">
        <v>32</v>
      </c>
      <c r="L134" s="2">
        <v>22</v>
      </c>
      <c r="M134" t="e">
        <f>VLOOKUP(B134,[1]报销单!$D:$G,4,0)</f>
        <v>#N/A</v>
      </c>
    </row>
    <row r="135" ht="40.5" spans="1:13">
      <c r="A135" s="2">
        <v>22</v>
      </c>
      <c r="B135" s="2" t="s">
        <v>290</v>
      </c>
      <c r="C135" s="2" t="s">
        <v>12</v>
      </c>
      <c r="D135" s="2"/>
      <c r="E135" s="2">
        <v>26</v>
      </c>
      <c r="F135" s="2" t="s">
        <v>291</v>
      </c>
      <c r="G135" s="2">
        <f t="shared" si="2"/>
        <v>20.98</v>
      </c>
      <c r="H135" s="2">
        <v>-5.02</v>
      </c>
      <c r="I135" s="2">
        <v>31.02</v>
      </c>
      <c r="J135" s="2" t="s">
        <v>14</v>
      </c>
      <c r="K135" s="2" t="s">
        <v>32</v>
      </c>
      <c r="L135" s="2">
        <v>22</v>
      </c>
      <c r="M135" t="e">
        <f>VLOOKUP(B135,[1]报销单!$D:$G,4,0)</f>
        <v>#N/A</v>
      </c>
    </row>
    <row r="136" ht="40.5" spans="1:13">
      <c r="A136" s="2">
        <v>22</v>
      </c>
      <c r="B136" s="2" t="s">
        <v>292</v>
      </c>
      <c r="C136" s="2" t="s">
        <v>12</v>
      </c>
      <c r="D136" s="2"/>
      <c r="E136" s="2">
        <v>26</v>
      </c>
      <c r="F136" s="2" t="s">
        <v>293</v>
      </c>
      <c r="G136" s="2">
        <f t="shared" si="2"/>
        <v>20.98</v>
      </c>
      <c r="H136" s="2">
        <v>-5.02</v>
      </c>
      <c r="I136" s="2">
        <v>31.02</v>
      </c>
      <c r="J136" s="2" t="s">
        <v>14</v>
      </c>
      <c r="K136" s="2" t="s">
        <v>32</v>
      </c>
      <c r="L136" s="2">
        <v>22</v>
      </c>
      <c r="M136" t="e">
        <f>VLOOKUP(B136,[1]报销单!$D:$G,4,0)</f>
        <v>#N/A</v>
      </c>
    </row>
    <row r="137" ht="27" spans="1:13">
      <c r="A137" s="2">
        <v>23</v>
      </c>
      <c r="B137" s="2" t="s">
        <v>294</v>
      </c>
      <c r="C137" s="2" t="s">
        <v>12</v>
      </c>
      <c r="D137" s="2"/>
      <c r="E137" s="2">
        <v>26</v>
      </c>
      <c r="F137" s="2" t="s">
        <v>295</v>
      </c>
      <c r="G137" s="2">
        <f t="shared" si="2"/>
        <v>26</v>
      </c>
      <c r="H137" s="2">
        <v>0</v>
      </c>
      <c r="I137" s="2">
        <v>26</v>
      </c>
      <c r="J137" s="2" t="s">
        <v>14</v>
      </c>
      <c r="K137" s="2" t="s">
        <v>59</v>
      </c>
      <c r="L137" s="2">
        <v>23</v>
      </c>
      <c r="M137" t="e">
        <f>VLOOKUP(B137,[1]报销单!$D:$G,4,0)</f>
        <v>#N/A</v>
      </c>
    </row>
    <row r="138" ht="40.5" spans="1:13">
      <c r="A138" s="2">
        <v>23</v>
      </c>
      <c r="B138" s="2" t="s">
        <v>296</v>
      </c>
      <c r="C138" s="2" t="s">
        <v>12</v>
      </c>
      <c r="D138" s="2"/>
      <c r="E138" s="2">
        <v>13</v>
      </c>
      <c r="F138" s="2" t="s">
        <v>297</v>
      </c>
      <c r="G138" s="2">
        <f t="shared" si="2"/>
        <v>13</v>
      </c>
      <c r="H138" s="2">
        <v>0</v>
      </c>
      <c r="I138" s="2">
        <v>13</v>
      </c>
      <c r="J138" s="2" t="s">
        <v>14</v>
      </c>
      <c r="K138" s="2" t="s">
        <v>173</v>
      </c>
      <c r="L138" s="2">
        <v>23</v>
      </c>
      <c r="M138" t="e">
        <f>VLOOKUP(B138,[1]报销单!$D:$G,4,0)</f>
        <v>#N/A</v>
      </c>
    </row>
    <row r="139" ht="40.5" spans="1:13">
      <c r="A139" s="2">
        <v>23</v>
      </c>
      <c r="B139" s="2" t="s">
        <v>298</v>
      </c>
      <c r="C139" s="2" t="s">
        <v>12</v>
      </c>
      <c r="D139" s="2"/>
      <c r="E139" s="2">
        <v>26</v>
      </c>
      <c r="F139" s="2" t="s">
        <v>299</v>
      </c>
      <c r="G139" s="2">
        <f t="shared" si="2"/>
        <v>26</v>
      </c>
      <c r="H139" s="2">
        <v>0</v>
      </c>
      <c r="I139" s="2">
        <v>26</v>
      </c>
      <c r="J139" s="2" t="s">
        <v>14</v>
      </c>
      <c r="K139" s="2" t="s">
        <v>300</v>
      </c>
      <c r="L139" s="2">
        <v>23</v>
      </c>
      <c r="M139" t="e">
        <f>VLOOKUP(B139,[1]报销单!$D:$G,4,0)</f>
        <v>#N/A</v>
      </c>
    </row>
    <row r="140" ht="40.5" spans="1:13">
      <c r="A140" s="2">
        <v>23</v>
      </c>
      <c r="B140" s="2" t="s">
        <v>301</v>
      </c>
      <c r="C140" s="2" t="s">
        <v>12</v>
      </c>
      <c r="D140" s="2"/>
      <c r="E140" s="2">
        <v>13</v>
      </c>
      <c r="F140" s="2" t="s">
        <v>302</v>
      </c>
      <c r="G140" s="2">
        <f t="shared" si="2"/>
        <v>13</v>
      </c>
      <c r="H140" s="2">
        <v>0</v>
      </c>
      <c r="I140" s="2">
        <v>13</v>
      </c>
      <c r="J140" s="2" t="s">
        <v>14</v>
      </c>
      <c r="K140" s="2" t="s">
        <v>32</v>
      </c>
      <c r="L140" s="2">
        <v>23</v>
      </c>
      <c r="M140" t="e">
        <f>VLOOKUP(B140,[1]报销单!$D:$G,4,0)</f>
        <v>#N/A</v>
      </c>
    </row>
    <row r="141" ht="27" spans="1:13">
      <c r="A141" s="2">
        <v>24</v>
      </c>
      <c r="B141" s="2" t="s">
        <v>303</v>
      </c>
      <c r="C141" s="2" t="s">
        <v>12</v>
      </c>
      <c r="D141" s="2"/>
      <c r="E141" s="2">
        <v>65</v>
      </c>
      <c r="F141" s="2" t="s">
        <v>304</v>
      </c>
      <c r="G141" s="2">
        <f t="shared" si="2"/>
        <v>65</v>
      </c>
      <c r="H141" s="2">
        <v>0</v>
      </c>
      <c r="I141" s="2">
        <v>65</v>
      </c>
      <c r="J141" s="2" t="s">
        <v>14</v>
      </c>
      <c r="K141" s="2" t="s">
        <v>59</v>
      </c>
      <c r="L141" s="2">
        <v>24</v>
      </c>
      <c r="M141" t="e">
        <f>VLOOKUP(B141,[1]报销单!$D:$G,4,0)</f>
        <v>#N/A</v>
      </c>
    </row>
    <row r="142" ht="27" spans="1:13">
      <c r="A142" s="2">
        <v>25</v>
      </c>
      <c r="B142" s="2" t="s">
        <v>305</v>
      </c>
      <c r="C142" s="2" t="s">
        <v>12</v>
      </c>
      <c r="D142" s="2"/>
      <c r="E142" s="2">
        <v>13</v>
      </c>
      <c r="F142" s="2" t="s">
        <v>306</v>
      </c>
      <c r="G142" s="2">
        <f t="shared" si="2"/>
        <v>13</v>
      </c>
      <c r="H142" s="2">
        <v>0</v>
      </c>
      <c r="I142" s="2">
        <v>13</v>
      </c>
      <c r="J142" s="2" t="s">
        <v>14</v>
      </c>
      <c r="K142" s="2" t="s">
        <v>307</v>
      </c>
      <c r="L142" s="2">
        <v>25</v>
      </c>
      <c r="M142" t="e">
        <f>VLOOKUP(B142,[1]报销单!$D:$G,4,0)</f>
        <v>#N/A</v>
      </c>
    </row>
    <row r="143" ht="40.5" spans="1:13">
      <c r="A143" s="2">
        <v>26</v>
      </c>
      <c r="B143" s="2" t="s">
        <v>308</v>
      </c>
      <c r="C143" s="2" t="s">
        <v>12</v>
      </c>
      <c r="D143" s="2"/>
      <c r="E143" s="2">
        <v>13</v>
      </c>
      <c r="F143" s="2" t="s">
        <v>309</v>
      </c>
      <c r="G143" s="2">
        <f t="shared" si="2"/>
        <v>13</v>
      </c>
      <c r="H143" s="2">
        <v>0</v>
      </c>
      <c r="I143" s="2">
        <v>13</v>
      </c>
      <c r="J143" s="2" t="s">
        <v>14</v>
      </c>
      <c r="K143" s="2" t="s">
        <v>32</v>
      </c>
      <c r="L143" s="2">
        <v>26</v>
      </c>
      <c r="M143" t="e">
        <f>VLOOKUP(B143,[1]报销单!$D:$G,4,0)</f>
        <v>#N/A</v>
      </c>
    </row>
    <row r="144" ht="40.5" spans="1:13">
      <c r="A144" s="2">
        <v>26</v>
      </c>
      <c r="B144" s="2" t="s">
        <v>310</v>
      </c>
      <c r="C144" s="2" t="s">
        <v>12</v>
      </c>
      <c r="D144" s="2"/>
      <c r="E144" s="2">
        <v>52</v>
      </c>
      <c r="F144" s="2" t="s">
        <v>311</v>
      </c>
      <c r="G144" s="2">
        <f t="shared" si="2"/>
        <v>52</v>
      </c>
      <c r="H144" s="2">
        <v>0</v>
      </c>
      <c r="I144" s="2">
        <v>52</v>
      </c>
      <c r="J144" s="2" t="s">
        <v>14</v>
      </c>
      <c r="K144" s="2" t="s">
        <v>32</v>
      </c>
      <c r="L144" s="2">
        <v>26</v>
      </c>
      <c r="M144" t="e">
        <f>VLOOKUP(B144,[1]报销单!$D:$G,4,0)</f>
        <v>#N/A</v>
      </c>
    </row>
    <row r="145" ht="27" spans="1:13">
      <c r="A145" s="2">
        <v>26</v>
      </c>
      <c r="B145" s="2" t="s">
        <v>312</v>
      </c>
      <c r="C145" s="2" t="s">
        <v>12</v>
      </c>
      <c r="D145" s="2"/>
      <c r="E145" s="2">
        <v>13</v>
      </c>
      <c r="F145" s="2" t="s">
        <v>313</v>
      </c>
      <c r="G145" s="2">
        <f t="shared" si="2"/>
        <v>13</v>
      </c>
      <c r="H145" s="2">
        <v>0</v>
      </c>
      <c r="I145" s="2">
        <v>13</v>
      </c>
      <c r="J145" s="2" t="s">
        <v>14</v>
      </c>
      <c r="K145" s="2" t="s">
        <v>15</v>
      </c>
      <c r="L145" s="2">
        <v>26</v>
      </c>
      <c r="M145" t="e">
        <f>VLOOKUP(B145,[1]报销单!$D:$G,4,0)</f>
        <v>#N/A</v>
      </c>
    </row>
    <row r="146" ht="40.5" spans="1:13">
      <c r="A146" s="2">
        <v>26</v>
      </c>
      <c r="B146" s="2" t="s">
        <v>314</v>
      </c>
      <c r="C146" s="2" t="s">
        <v>12</v>
      </c>
      <c r="D146" s="2"/>
      <c r="E146" s="2">
        <v>13</v>
      </c>
      <c r="F146" s="2" t="s">
        <v>315</v>
      </c>
      <c r="G146" s="2">
        <f t="shared" si="2"/>
        <v>13</v>
      </c>
      <c r="H146" s="2">
        <v>0</v>
      </c>
      <c r="I146" s="2">
        <v>13</v>
      </c>
      <c r="J146" s="2" t="s">
        <v>14</v>
      </c>
      <c r="K146" s="2" t="s">
        <v>32</v>
      </c>
      <c r="L146" s="2">
        <v>26</v>
      </c>
      <c r="M146" t="e">
        <f>VLOOKUP(B146,[1]报销单!$D:$G,4,0)</f>
        <v>#N/A</v>
      </c>
    </row>
    <row r="147" ht="40.5" spans="1:13">
      <c r="A147" s="2">
        <v>26</v>
      </c>
      <c r="B147" s="2" t="s">
        <v>316</v>
      </c>
      <c r="C147" s="2" t="s">
        <v>12</v>
      </c>
      <c r="D147" s="2"/>
      <c r="E147" s="2">
        <v>13</v>
      </c>
      <c r="F147" s="2" t="s">
        <v>317</v>
      </c>
      <c r="G147" s="2">
        <f t="shared" si="2"/>
        <v>13</v>
      </c>
      <c r="H147" s="2">
        <v>0</v>
      </c>
      <c r="I147" s="2">
        <v>13</v>
      </c>
      <c r="J147" s="2" t="s">
        <v>14</v>
      </c>
      <c r="K147" s="2" t="s">
        <v>32</v>
      </c>
      <c r="L147" s="2">
        <v>26</v>
      </c>
      <c r="M147" t="e">
        <f>VLOOKUP(B147,[1]报销单!$D:$G,4,0)</f>
        <v>#N/A</v>
      </c>
    </row>
    <row r="148" ht="40.5" spans="1:13">
      <c r="A148" s="2">
        <v>26</v>
      </c>
      <c r="B148" s="2" t="s">
        <v>318</v>
      </c>
      <c r="C148" s="2" t="s">
        <v>12</v>
      </c>
      <c r="D148" s="2"/>
      <c r="E148" s="2">
        <v>13</v>
      </c>
      <c r="F148" s="2" t="s">
        <v>319</v>
      </c>
      <c r="G148" s="2">
        <f t="shared" si="2"/>
        <v>13</v>
      </c>
      <c r="H148" s="2">
        <v>0</v>
      </c>
      <c r="I148" s="2">
        <v>13</v>
      </c>
      <c r="J148" s="2" t="s">
        <v>14</v>
      </c>
      <c r="K148" s="2" t="s">
        <v>32</v>
      </c>
      <c r="L148" s="2">
        <v>26</v>
      </c>
      <c r="M148" t="e">
        <f>VLOOKUP(B148,[1]报销单!$D:$G,4,0)</f>
        <v>#N/A</v>
      </c>
    </row>
    <row r="149" ht="27" spans="1:13">
      <c r="A149" s="2">
        <v>27</v>
      </c>
      <c r="B149" s="2" t="s">
        <v>320</v>
      </c>
      <c r="C149" s="2" t="s">
        <v>12</v>
      </c>
      <c r="D149" s="2"/>
      <c r="E149" s="2">
        <v>39</v>
      </c>
      <c r="F149" s="2" t="s">
        <v>321</v>
      </c>
      <c r="G149" s="2">
        <f t="shared" si="2"/>
        <v>65</v>
      </c>
      <c r="H149" s="2">
        <v>26</v>
      </c>
      <c r="I149" s="2">
        <v>13</v>
      </c>
      <c r="J149" s="2" t="s">
        <v>14</v>
      </c>
      <c r="K149" s="2" t="s">
        <v>59</v>
      </c>
      <c r="L149" s="2">
        <v>27</v>
      </c>
      <c r="M149" t="e">
        <f>VLOOKUP(B149,[1]报销单!$D:$G,4,0)</f>
        <v>#N/A</v>
      </c>
    </row>
    <row r="150" ht="40.5" spans="1:13">
      <c r="A150" s="2">
        <v>28</v>
      </c>
      <c r="B150" s="2" t="s">
        <v>322</v>
      </c>
      <c r="C150" s="2" t="s">
        <v>12</v>
      </c>
      <c r="D150" s="2"/>
      <c r="E150" s="2">
        <v>26</v>
      </c>
      <c r="F150" s="2" t="s">
        <v>323</v>
      </c>
      <c r="G150" s="2">
        <f t="shared" si="2"/>
        <v>26</v>
      </c>
      <c r="H150" s="2">
        <v>0</v>
      </c>
      <c r="I150" s="2">
        <v>26</v>
      </c>
      <c r="J150" s="2" t="s">
        <v>14</v>
      </c>
      <c r="K150" s="2" t="s">
        <v>62</v>
      </c>
      <c r="L150" s="2">
        <v>28</v>
      </c>
      <c r="M150" t="e">
        <f>VLOOKUP(B150,[1]报销单!$D:$G,4,0)</f>
        <v>#N/A</v>
      </c>
    </row>
    <row r="151" ht="40.5" spans="1:13">
      <c r="A151" s="2">
        <v>28</v>
      </c>
      <c r="B151" s="2" t="s">
        <v>324</v>
      </c>
      <c r="C151" s="2" t="s">
        <v>12</v>
      </c>
      <c r="D151" s="2"/>
      <c r="E151" s="2">
        <v>13</v>
      </c>
      <c r="F151" s="2" t="s">
        <v>325</v>
      </c>
      <c r="G151" s="2">
        <f t="shared" si="2"/>
        <v>13</v>
      </c>
      <c r="H151" s="2">
        <v>0</v>
      </c>
      <c r="I151" s="2">
        <v>13</v>
      </c>
      <c r="J151" s="2" t="s">
        <v>14</v>
      </c>
      <c r="K151" s="2" t="s">
        <v>32</v>
      </c>
      <c r="L151" s="2">
        <v>28</v>
      </c>
      <c r="M151" t="e">
        <f>VLOOKUP(B151,[1]报销单!$D:$G,4,0)</f>
        <v>#N/A</v>
      </c>
    </row>
    <row r="152" ht="40.5" spans="1:13">
      <c r="A152" s="2">
        <v>28</v>
      </c>
      <c r="B152" s="2" t="s">
        <v>326</v>
      </c>
      <c r="C152" s="2" t="s">
        <v>12</v>
      </c>
      <c r="D152" s="2"/>
      <c r="E152" s="2">
        <v>13</v>
      </c>
      <c r="F152" s="2" t="s">
        <v>327</v>
      </c>
      <c r="G152" s="2">
        <f t="shared" si="2"/>
        <v>13</v>
      </c>
      <c r="H152" s="2">
        <v>0</v>
      </c>
      <c r="I152" s="2">
        <v>13</v>
      </c>
      <c r="J152" s="2" t="s">
        <v>14</v>
      </c>
      <c r="K152" s="2" t="s">
        <v>83</v>
      </c>
      <c r="L152" s="2">
        <v>28</v>
      </c>
      <c r="M152" t="e">
        <f>VLOOKUP(B152,[1]报销单!$D:$G,4,0)</f>
        <v>#N/A</v>
      </c>
    </row>
    <row r="153" ht="40.5" spans="1:13">
      <c r="A153" s="2">
        <v>28</v>
      </c>
      <c r="B153" s="2" t="s">
        <v>328</v>
      </c>
      <c r="C153" s="2" t="s">
        <v>12</v>
      </c>
      <c r="D153" s="2"/>
      <c r="E153" s="2">
        <v>39</v>
      </c>
      <c r="F153" s="2" t="s">
        <v>329</v>
      </c>
      <c r="G153" s="2">
        <f t="shared" si="2"/>
        <v>39</v>
      </c>
      <c r="H153" s="2">
        <v>0</v>
      </c>
      <c r="I153" s="2">
        <v>39</v>
      </c>
      <c r="J153" s="2" t="s">
        <v>14</v>
      </c>
      <c r="K153" s="2" t="s">
        <v>62</v>
      </c>
      <c r="L153" s="2">
        <v>28</v>
      </c>
      <c r="M153" t="e">
        <f>VLOOKUP(B153,[1]报销单!$D:$G,4,0)</f>
        <v>#N/A</v>
      </c>
    </row>
    <row r="154" ht="40.5" spans="1:13">
      <c r="A154" s="2">
        <v>29</v>
      </c>
      <c r="B154" s="2" t="s">
        <v>330</v>
      </c>
      <c r="C154" s="2" t="s">
        <v>12</v>
      </c>
      <c r="D154" s="2"/>
      <c r="E154" s="2">
        <v>13</v>
      </c>
      <c r="F154" s="2" t="s">
        <v>331</v>
      </c>
      <c r="G154" s="2">
        <f t="shared" si="2"/>
        <v>13</v>
      </c>
      <c r="H154" s="2">
        <v>0</v>
      </c>
      <c r="I154" s="2">
        <v>13</v>
      </c>
      <c r="J154" s="2" t="s">
        <v>14</v>
      </c>
      <c r="K154" s="2" t="s">
        <v>32</v>
      </c>
      <c r="L154" s="2">
        <v>29</v>
      </c>
      <c r="M154" t="e">
        <f>VLOOKUP(B154,[1]报销单!$D:$G,4,0)</f>
        <v>#N/A</v>
      </c>
    </row>
    <row r="155" ht="27" spans="1:13">
      <c r="A155" s="2">
        <v>30</v>
      </c>
      <c r="B155" s="2" t="s">
        <v>332</v>
      </c>
      <c r="C155" s="2" t="s">
        <v>12</v>
      </c>
      <c r="D155" s="2"/>
      <c r="E155" s="2">
        <v>13</v>
      </c>
      <c r="F155" s="2" t="s">
        <v>333</v>
      </c>
      <c r="G155" s="2">
        <f t="shared" si="2"/>
        <v>13</v>
      </c>
      <c r="H155" s="2">
        <v>0</v>
      </c>
      <c r="I155" s="2">
        <v>13</v>
      </c>
      <c r="J155" s="2" t="s">
        <v>14</v>
      </c>
      <c r="K155" s="2" t="s">
        <v>149</v>
      </c>
      <c r="L155" s="2">
        <v>30</v>
      </c>
      <c r="M155" t="e">
        <f>VLOOKUP(B155,[1]报销单!$D:$G,4,0)</f>
        <v>#N/A</v>
      </c>
    </row>
    <row r="156" ht="27" spans="1:13">
      <c r="A156" s="2">
        <v>31</v>
      </c>
      <c r="B156" s="2" t="s">
        <v>334</v>
      </c>
      <c r="C156" s="2" t="s">
        <v>12</v>
      </c>
      <c r="D156" s="2"/>
      <c r="E156" s="2">
        <v>39</v>
      </c>
      <c r="F156" s="2" t="s">
        <v>335</v>
      </c>
      <c r="G156" s="2">
        <f t="shared" si="2"/>
        <v>39</v>
      </c>
      <c r="H156" s="2">
        <v>0</v>
      </c>
      <c r="I156" s="2">
        <v>39</v>
      </c>
      <c r="J156" s="2" t="s">
        <v>14</v>
      </c>
      <c r="K156" s="2" t="s">
        <v>109</v>
      </c>
      <c r="L156" s="2">
        <v>31</v>
      </c>
      <c r="M156" t="e">
        <f>VLOOKUP(B156,[1]报销单!$D:$G,4,0)</f>
        <v>#N/A</v>
      </c>
    </row>
    <row r="157" ht="27" spans="1:13">
      <c r="A157" s="2">
        <v>31</v>
      </c>
      <c r="B157" s="2" t="s">
        <v>336</v>
      </c>
      <c r="C157" s="2" t="s">
        <v>12</v>
      </c>
      <c r="D157" s="2"/>
      <c r="E157" s="2">
        <v>13</v>
      </c>
      <c r="F157" s="2" t="s">
        <v>337</v>
      </c>
      <c r="G157" s="2">
        <f t="shared" si="2"/>
        <v>13</v>
      </c>
      <c r="H157" s="2">
        <v>0</v>
      </c>
      <c r="I157" s="2">
        <v>13</v>
      </c>
      <c r="J157" s="2" t="s">
        <v>14</v>
      </c>
      <c r="K157" s="2" t="s">
        <v>109</v>
      </c>
      <c r="L157" s="2">
        <v>31</v>
      </c>
      <c r="M157" t="e">
        <f>VLOOKUP(B157,[1]报销单!$D:$G,4,0)</f>
        <v>#N/A</v>
      </c>
    </row>
    <row r="158" ht="27" spans="1:13">
      <c r="A158" s="2">
        <v>31</v>
      </c>
      <c r="B158" s="2" t="s">
        <v>338</v>
      </c>
      <c r="C158" s="2" t="s">
        <v>12</v>
      </c>
      <c r="D158" s="2"/>
      <c r="E158" s="2">
        <v>13</v>
      </c>
      <c r="F158" s="2" t="s">
        <v>339</v>
      </c>
      <c r="G158" s="2">
        <f t="shared" si="2"/>
        <v>13</v>
      </c>
      <c r="H158" s="2">
        <v>0</v>
      </c>
      <c r="I158" s="2">
        <v>13</v>
      </c>
      <c r="J158" s="2" t="s">
        <v>14</v>
      </c>
      <c r="K158" s="2" t="s">
        <v>109</v>
      </c>
      <c r="L158" s="2">
        <v>31</v>
      </c>
      <c r="M158" t="e">
        <f>VLOOKUP(B158,[1]报销单!$D:$G,4,0)</f>
        <v>#N/A</v>
      </c>
    </row>
    <row r="159" ht="40.5" spans="1:13">
      <c r="A159" s="2">
        <v>32</v>
      </c>
      <c r="B159" s="2" t="s">
        <v>340</v>
      </c>
      <c r="C159" s="2" t="s">
        <v>12</v>
      </c>
      <c r="D159" s="2"/>
      <c r="E159" s="2">
        <v>13</v>
      </c>
      <c r="F159" s="2" t="s">
        <v>341</v>
      </c>
      <c r="G159" s="2">
        <f t="shared" si="2"/>
        <v>13</v>
      </c>
      <c r="H159" s="2">
        <v>0</v>
      </c>
      <c r="I159" s="2">
        <v>13</v>
      </c>
      <c r="J159" s="2" t="s">
        <v>14</v>
      </c>
      <c r="K159" s="2" t="s">
        <v>62</v>
      </c>
      <c r="L159" s="2">
        <v>32</v>
      </c>
      <c r="M159" t="e">
        <f>VLOOKUP(B159,[1]报销单!$D:$G,4,0)</f>
        <v>#N/A</v>
      </c>
    </row>
    <row r="160" ht="27" spans="1:13">
      <c r="A160" s="2">
        <v>32</v>
      </c>
      <c r="B160" s="2" t="s">
        <v>342</v>
      </c>
      <c r="C160" s="2" t="s">
        <v>12</v>
      </c>
      <c r="D160" s="2"/>
      <c r="E160" s="2">
        <v>26</v>
      </c>
      <c r="F160" s="2" t="s">
        <v>343</v>
      </c>
      <c r="G160" s="2">
        <f t="shared" si="2"/>
        <v>26</v>
      </c>
      <c r="H160" s="2">
        <v>0</v>
      </c>
      <c r="I160" s="2">
        <v>26</v>
      </c>
      <c r="J160" s="2" t="s">
        <v>14</v>
      </c>
      <c r="K160" s="2" t="s">
        <v>109</v>
      </c>
      <c r="L160" s="2">
        <v>32</v>
      </c>
      <c r="M160" t="e">
        <f>VLOOKUP(B160,[1]报销单!$D:$G,4,0)</f>
        <v>#N/A</v>
      </c>
    </row>
    <row r="161" ht="27" spans="1:13">
      <c r="A161" s="2">
        <v>32</v>
      </c>
      <c r="B161" s="2" t="s">
        <v>344</v>
      </c>
      <c r="C161" s="2" t="s">
        <v>12</v>
      </c>
      <c r="D161" s="2"/>
      <c r="E161" s="2">
        <v>39</v>
      </c>
      <c r="F161" s="2" t="s">
        <v>345</v>
      </c>
      <c r="G161" s="2">
        <f t="shared" si="2"/>
        <v>39</v>
      </c>
      <c r="H161" s="2">
        <v>0</v>
      </c>
      <c r="I161" s="2">
        <v>39</v>
      </c>
      <c r="J161" s="2" t="s">
        <v>14</v>
      </c>
      <c r="K161" s="2" t="s">
        <v>109</v>
      </c>
      <c r="L161" s="2">
        <v>32</v>
      </c>
      <c r="M161" t="e">
        <f>VLOOKUP(B161,[1]报销单!$D:$G,4,0)</f>
        <v>#N/A</v>
      </c>
    </row>
    <row r="162" ht="27" spans="1:13">
      <c r="A162" s="2">
        <v>32</v>
      </c>
      <c r="B162" s="2" t="s">
        <v>346</v>
      </c>
      <c r="C162" s="2" t="s">
        <v>12</v>
      </c>
      <c r="D162" s="2"/>
      <c r="E162" s="2">
        <v>39</v>
      </c>
      <c r="F162" s="2" t="s">
        <v>347</v>
      </c>
      <c r="G162" s="2">
        <f t="shared" si="2"/>
        <v>39</v>
      </c>
      <c r="H162" s="2">
        <v>0</v>
      </c>
      <c r="I162" s="2">
        <v>39</v>
      </c>
      <c r="J162" s="2" t="s">
        <v>14</v>
      </c>
      <c r="K162" s="2" t="s">
        <v>109</v>
      </c>
      <c r="L162" s="2">
        <v>32</v>
      </c>
      <c r="M162" t="e">
        <f>VLOOKUP(B162,[1]报销单!$D:$G,4,0)</f>
        <v>#N/A</v>
      </c>
    </row>
    <row r="163" ht="40.5" spans="1:13">
      <c r="A163" s="2">
        <v>32</v>
      </c>
      <c r="B163" s="2" t="s">
        <v>348</v>
      </c>
      <c r="C163" s="2" t="s">
        <v>12</v>
      </c>
      <c r="D163" s="2"/>
      <c r="E163" s="2">
        <v>39</v>
      </c>
      <c r="F163" s="2" t="s">
        <v>349</v>
      </c>
      <c r="G163" s="2">
        <f t="shared" si="2"/>
        <v>39</v>
      </c>
      <c r="H163" s="2">
        <v>0</v>
      </c>
      <c r="I163" s="2">
        <v>39</v>
      </c>
      <c r="J163" s="2" t="s">
        <v>14</v>
      </c>
      <c r="K163" s="2" t="s">
        <v>350</v>
      </c>
      <c r="L163" s="2">
        <v>32</v>
      </c>
      <c r="M163" t="e">
        <f>VLOOKUP(B163,[1]报销单!$D:$G,4,0)</f>
        <v>#N/A</v>
      </c>
    </row>
    <row r="164" ht="27" spans="1:13">
      <c r="A164" s="2">
        <v>32</v>
      </c>
      <c r="B164" s="2" t="s">
        <v>351</v>
      </c>
      <c r="C164" s="2" t="s">
        <v>12</v>
      </c>
      <c r="D164" s="2"/>
      <c r="E164" s="2">
        <v>39</v>
      </c>
      <c r="F164" s="2" t="s">
        <v>352</v>
      </c>
      <c r="G164" s="2">
        <f t="shared" si="2"/>
        <v>39</v>
      </c>
      <c r="H164" s="2">
        <v>0</v>
      </c>
      <c r="I164" s="2">
        <v>39</v>
      </c>
      <c r="J164" s="2" t="s">
        <v>14</v>
      </c>
      <c r="K164" s="2" t="s">
        <v>109</v>
      </c>
      <c r="L164" s="2">
        <v>32</v>
      </c>
      <c r="M164" t="e">
        <f>VLOOKUP(B164,[1]报销单!$D:$G,4,0)</f>
        <v>#N/A</v>
      </c>
    </row>
    <row r="165" ht="27" spans="1:13">
      <c r="A165" s="2">
        <v>32</v>
      </c>
      <c r="B165" s="2" t="s">
        <v>353</v>
      </c>
      <c r="C165" s="2" t="s">
        <v>12</v>
      </c>
      <c r="D165" s="2"/>
      <c r="E165" s="2">
        <v>26</v>
      </c>
      <c r="F165" s="2" t="s">
        <v>354</v>
      </c>
      <c r="G165" s="2">
        <f t="shared" si="2"/>
        <v>26</v>
      </c>
      <c r="H165" s="2">
        <v>0</v>
      </c>
      <c r="I165" s="2">
        <v>26</v>
      </c>
      <c r="J165" s="2" t="s">
        <v>14</v>
      </c>
      <c r="K165" s="2" t="s">
        <v>109</v>
      </c>
      <c r="L165" s="2">
        <v>32</v>
      </c>
      <c r="M165" t="e">
        <f>VLOOKUP(B165,[1]报销单!$D:$G,4,0)</f>
        <v>#N/A</v>
      </c>
    </row>
    <row r="166" ht="27" spans="1:13">
      <c r="A166" s="2">
        <v>32</v>
      </c>
      <c r="B166" s="2" t="s">
        <v>355</v>
      </c>
      <c r="C166" s="2" t="s">
        <v>12</v>
      </c>
      <c r="D166" s="2"/>
      <c r="E166" s="2">
        <v>39</v>
      </c>
      <c r="F166" s="2" t="s">
        <v>356</v>
      </c>
      <c r="G166" s="2">
        <f t="shared" si="2"/>
        <v>39</v>
      </c>
      <c r="H166" s="2">
        <v>0</v>
      </c>
      <c r="I166" s="2">
        <v>39</v>
      </c>
      <c r="J166" s="2" t="s">
        <v>14</v>
      </c>
      <c r="K166" s="2" t="s">
        <v>109</v>
      </c>
      <c r="L166" s="2">
        <v>32</v>
      </c>
      <c r="M166" t="e">
        <f>VLOOKUP(B166,[1]报销单!$D:$G,4,0)</f>
        <v>#N/A</v>
      </c>
    </row>
    <row r="167" ht="27" spans="1:13">
      <c r="A167" s="2">
        <v>32</v>
      </c>
      <c r="B167" s="2" t="s">
        <v>357</v>
      </c>
      <c r="C167" s="2" t="s">
        <v>12</v>
      </c>
      <c r="D167" s="2"/>
      <c r="E167" s="2">
        <v>39</v>
      </c>
      <c r="F167" s="2" t="s">
        <v>358</v>
      </c>
      <c r="G167" s="2">
        <f t="shared" si="2"/>
        <v>39</v>
      </c>
      <c r="H167" s="2">
        <v>0</v>
      </c>
      <c r="I167" s="2">
        <v>39</v>
      </c>
      <c r="J167" s="2" t="s">
        <v>14</v>
      </c>
      <c r="K167" s="2" t="s">
        <v>109</v>
      </c>
      <c r="L167" s="2">
        <v>32</v>
      </c>
      <c r="M167" t="e">
        <f>VLOOKUP(B167,[1]报销单!$D:$G,4,0)</f>
        <v>#N/A</v>
      </c>
    </row>
    <row r="168" ht="27" spans="1:13">
      <c r="A168" s="2">
        <v>33</v>
      </c>
      <c r="B168" s="2" t="s">
        <v>359</v>
      </c>
      <c r="C168" s="2" t="s">
        <v>12</v>
      </c>
      <c r="D168" s="2"/>
      <c r="E168" s="2">
        <v>26</v>
      </c>
      <c r="F168" s="2" t="s">
        <v>360</v>
      </c>
      <c r="G168" s="2">
        <f t="shared" si="2"/>
        <v>26</v>
      </c>
      <c r="H168" s="2">
        <v>0</v>
      </c>
      <c r="I168" s="2">
        <v>26</v>
      </c>
      <c r="J168" s="2" t="s">
        <v>14</v>
      </c>
      <c r="K168" s="2" t="s">
        <v>109</v>
      </c>
      <c r="L168" s="2">
        <v>33</v>
      </c>
      <c r="M168" t="e">
        <f>VLOOKUP(B168,[1]报销单!$D:$G,4,0)</f>
        <v>#N/A</v>
      </c>
    </row>
    <row r="169" ht="27" spans="1:13">
      <c r="A169" s="2">
        <v>33</v>
      </c>
      <c r="B169" s="2" t="s">
        <v>361</v>
      </c>
      <c r="C169" s="2" t="s">
        <v>12</v>
      </c>
      <c r="D169" s="2"/>
      <c r="E169" s="2">
        <v>39</v>
      </c>
      <c r="F169" s="2" t="s">
        <v>362</v>
      </c>
      <c r="G169" s="2">
        <f t="shared" si="2"/>
        <v>39</v>
      </c>
      <c r="H169" s="2">
        <v>0</v>
      </c>
      <c r="I169" s="2">
        <v>39</v>
      </c>
      <c r="J169" s="2" t="s">
        <v>14</v>
      </c>
      <c r="K169" s="2" t="s">
        <v>15</v>
      </c>
      <c r="L169" s="2">
        <v>33</v>
      </c>
      <c r="M169" t="e">
        <f>VLOOKUP(B169,[1]报销单!$D:$G,4,0)</f>
        <v>#N/A</v>
      </c>
    </row>
    <row r="170" ht="40.5" spans="1:13">
      <c r="A170" s="2">
        <v>33</v>
      </c>
      <c r="B170" s="2" t="s">
        <v>363</v>
      </c>
      <c r="C170" s="2" t="s">
        <v>12</v>
      </c>
      <c r="D170" s="2"/>
      <c r="E170" s="2">
        <v>13</v>
      </c>
      <c r="F170" s="2" t="s">
        <v>364</v>
      </c>
      <c r="G170" s="2">
        <f t="shared" si="2"/>
        <v>13</v>
      </c>
      <c r="H170" s="2">
        <v>0</v>
      </c>
      <c r="I170" s="2">
        <v>13</v>
      </c>
      <c r="J170" s="2" t="s">
        <v>14</v>
      </c>
      <c r="K170" s="2" t="s">
        <v>32</v>
      </c>
      <c r="L170" s="2">
        <v>33</v>
      </c>
      <c r="M170" t="e">
        <f>VLOOKUP(B170,[1]报销单!$D:$G,4,0)</f>
        <v>#N/A</v>
      </c>
    </row>
    <row r="171" ht="40.5" spans="1:13">
      <c r="A171" s="2">
        <v>33</v>
      </c>
      <c r="B171" s="2" t="s">
        <v>365</v>
      </c>
      <c r="C171" s="2" t="s">
        <v>12</v>
      </c>
      <c r="D171" s="2"/>
      <c r="E171" s="2">
        <v>13</v>
      </c>
      <c r="F171" s="2" t="s">
        <v>366</v>
      </c>
      <c r="G171" s="2">
        <f t="shared" si="2"/>
        <v>13</v>
      </c>
      <c r="H171" s="2">
        <v>0</v>
      </c>
      <c r="I171" s="2">
        <v>13</v>
      </c>
      <c r="J171" s="2" t="s">
        <v>14</v>
      </c>
      <c r="K171" s="2" t="s">
        <v>32</v>
      </c>
      <c r="L171" s="2">
        <v>33</v>
      </c>
      <c r="M171" t="e">
        <f>VLOOKUP(B171,[1]报销单!$D:$G,4,0)</f>
        <v>#N/A</v>
      </c>
    </row>
    <row r="172" ht="40.5" spans="1:13">
      <c r="A172" s="2">
        <v>34</v>
      </c>
      <c r="B172" s="2" t="s">
        <v>367</v>
      </c>
      <c r="C172" s="2" t="s">
        <v>12</v>
      </c>
      <c r="D172" s="2"/>
      <c r="E172" s="2">
        <v>26</v>
      </c>
      <c r="F172" s="2" t="s">
        <v>368</v>
      </c>
      <c r="G172" s="2">
        <f t="shared" si="2"/>
        <v>26</v>
      </c>
      <c r="H172" s="2">
        <v>0</v>
      </c>
      <c r="I172" s="2">
        <v>26</v>
      </c>
      <c r="J172" s="2" t="s">
        <v>14</v>
      </c>
      <c r="K172" s="2" t="s">
        <v>32</v>
      </c>
      <c r="L172" s="2">
        <v>34</v>
      </c>
      <c r="M172" t="e">
        <f>VLOOKUP(B172,[1]报销单!$D:$G,4,0)</f>
        <v>#N/A</v>
      </c>
    </row>
    <row r="173" ht="27" spans="1:13">
      <c r="A173" s="2">
        <v>35</v>
      </c>
      <c r="B173" s="2" t="s">
        <v>369</v>
      </c>
      <c r="C173" s="2" t="s">
        <v>12</v>
      </c>
      <c r="D173" s="2"/>
      <c r="E173" s="2">
        <v>39</v>
      </c>
      <c r="F173" s="2" t="s">
        <v>370</v>
      </c>
      <c r="G173" s="2">
        <f t="shared" si="2"/>
        <v>39</v>
      </c>
      <c r="H173" s="2">
        <v>0</v>
      </c>
      <c r="I173" s="2">
        <v>39</v>
      </c>
      <c r="J173" s="2" t="s">
        <v>14</v>
      </c>
      <c r="K173" s="2" t="s">
        <v>15</v>
      </c>
      <c r="L173" s="2">
        <v>35</v>
      </c>
      <c r="M173" t="e">
        <f>VLOOKUP(B173,[1]报销单!$D:$G,4,0)</f>
        <v>#N/A</v>
      </c>
    </row>
    <row r="174" ht="40.5" spans="1:13">
      <c r="A174" s="2">
        <v>35</v>
      </c>
      <c r="B174" s="2" t="s">
        <v>371</v>
      </c>
      <c r="C174" s="2" t="s">
        <v>12</v>
      </c>
      <c r="D174" s="2"/>
      <c r="E174" s="2">
        <v>13</v>
      </c>
      <c r="F174" s="2" t="s">
        <v>372</v>
      </c>
      <c r="G174" s="2">
        <f t="shared" si="2"/>
        <v>13</v>
      </c>
      <c r="H174" s="2">
        <v>0</v>
      </c>
      <c r="I174" s="2">
        <v>13</v>
      </c>
      <c r="J174" s="2" t="s">
        <v>14</v>
      </c>
      <c r="K174" s="2" t="s">
        <v>83</v>
      </c>
      <c r="L174" s="2">
        <v>35</v>
      </c>
      <c r="M174" t="e">
        <f>VLOOKUP(B174,[1]报销单!$D:$G,4,0)</f>
        <v>#N/A</v>
      </c>
    </row>
    <row r="175" ht="40.5" spans="1:13">
      <c r="A175" s="2">
        <v>36</v>
      </c>
      <c r="B175" s="2" t="s">
        <v>373</v>
      </c>
      <c r="C175" s="2" t="s">
        <v>12</v>
      </c>
      <c r="D175" s="2"/>
      <c r="E175" s="2">
        <v>13</v>
      </c>
      <c r="F175" s="2" t="s">
        <v>374</v>
      </c>
      <c r="G175" s="2">
        <f t="shared" si="2"/>
        <v>13</v>
      </c>
      <c r="H175" s="2">
        <v>0</v>
      </c>
      <c r="I175" s="2">
        <v>13</v>
      </c>
      <c r="J175" s="2" t="s">
        <v>14</v>
      </c>
      <c r="K175" s="2" t="s">
        <v>32</v>
      </c>
      <c r="L175" s="2">
        <v>36</v>
      </c>
      <c r="M175" t="e">
        <f>VLOOKUP(B175,[1]报销单!$D:$G,4,0)</f>
        <v>#N/A</v>
      </c>
    </row>
    <row r="176" ht="40.5" spans="1:13">
      <c r="A176" s="2">
        <v>36</v>
      </c>
      <c r="B176" s="2" t="s">
        <v>375</v>
      </c>
      <c r="C176" s="2" t="s">
        <v>12</v>
      </c>
      <c r="D176" s="2"/>
      <c r="E176" s="2">
        <v>13</v>
      </c>
      <c r="F176" s="2" t="s">
        <v>376</v>
      </c>
      <c r="G176" s="2">
        <f t="shared" si="2"/>
        <v>13</v>
      </c>
      <c r="H176" s="2">
        <v>0</v>
      </c>
      <c r="I176" s="2">
        <v>13</v>
      </c>
      <c r="J176" s="2" t="s">
        <v>14</v>
      </c>
      <c r="K176" s="2" t="s">
        <v>32</v>
      </c>
      <c r="L176" s="2">
        <v>36</v>
      </c>
      <c r="M176" t="e">
        <f>VLOOKUP(B176,[1]报销单!$D:$G,4,0)</f>
        <v>#N/A</v>
      </c>
    </row>
    <row r="177" ht="40.5" spans="1:13">
      <c r="A177" s="2">
        <v>36</v>
      </c>
      <c r="B177" s="2" t="s">
        <v>377</v>
      </c>
      <c r="C177" s="2" t="s">
        <v>12</v>
      </c>
      <c r="D177" s="2"/>
      <c r="E177" s="2">
        <v>13</v>
      </c>
      <c r="F177" s="2" t="s">
        <v>378</v>
      </c>
      <c r="G177" s="2">
        <f t="shared" si="2"/>
        <v>13</v>
      </c>
      <c r="H177" s="2">
        <v>0</v>
      </c>
      <c r="I177" s="2">
        <v>13</v>
      </c>
      <c r="J177" s="2" t="s">
        <v>14</v>
      </c>
      <c r="K177" s="2" t="s">
        <v>32</v>
      </c>
      <c r="L177" s="2">
        <v>36</v>
      </c>
      <c r="M177" t="e">
        <f>VLOOKUP(B177,[1]报销单!$D:$G,4,0)</f>
        <v>#N/A</v>
      </c>
    </row>
    <row r="178" ht="27" spans="1:13">
      <c r="A178" s="2">
        <v>36</v>
      </c>
      <c r="B178" s="2" t="s">
        <v>379</v>
      </c>
      <c r="C178" s="2" t="s">
        <v>12</v>
      </c>
      <c r="D178" s="2"/>
      <c r="E178" s="2">
        <v>26</v>
      </c>
      <c r="F178" s="2" t="s">
        <v>380</v>
      </c>
      <c r="G178" s="2">
        <f t="shared" si="2"/>
        <v>26</v>
      </c>
      <c r="H178" s="2">
        <v>0</v>
      </c>
      <c r="I178" s="2">
        <v>26</v>
      </c>
      <c r="J178" s="2" t="s">
        <v>14</v>
      </c>
      <c r="K178" s="2" t="s">
        <v>15</v>
      </c>
      <c r="L178" s="2">
        <v>36</v>
      </c>
      <c r="M178" t="e">
        <f>VLOOKUP(B178,[1]报销单!$D:$G,4,0)</f>
        <v>#N/A</v>
      </c>
    </row>
    <row r="179" ht="40.5" spans="1:13">
      <c r="A179" s="2">
        <v>36</v>
      </c>
      <c r="B179" s="2" t="s">
        <v>381</v>
      </c>
      <c r="C179" s="2" t="s">
        <v>12</v>
      </c>
      <c r="D179" s="2"/>
      <c r="E179" s="2">
        <v>13</v>
      </c>
      <c r="F179" s="2" t="s">
        <v>382</v>
      </c>
      <c r="G179" s="2">
        <f t="shared" si="2"/>
        <v>13</v>
      </c>
      <c r="H179" s="2">
        <v>0</v>
      </c>
      <c r="I179" s="2">
        <v>13</v>
      </c>
      <c r="J179" s="2" t="s">
        <v>14</v>
      </c>
      <c r="K179" s="2" t="s">
        <v>32</v>
      </c>
      <c r="L179" s="2">
        <v>36</v>
      </c>
      <c r="M179" t="e">
        <f>VLOOKUP(B179,[1]报销单!$D:$G,4,0)</f>
        <v>#N/A</v>
      </c>
    </row>
    <row r="180" ht="40.5" spans="1:13">
      <c r="A180" s="2">
        <v>36</v>
      </c>
      <c r="B180" s="2" t="s">
        <v>383</v>
      </c>
      <c r="C180" s="2" t="s">
        <v>12</v>
      </c>
      <c r="D180" s="2" t="s">
        <v>384</v>
      </c>
      <c r="E180" s="2">
        <v>13</v>
      </c>
      <c r="F180" s="2" t="s">
        <v>385</v>
      </c>
      <c r="G180" s="2">
        <f t="shared" si="2"/>
        <v>13</v>
      </c>
      <c r="H180" s="2">
        <v>0</v>
      </c>
      <c r="I180" s="2">
        <v>13</v>
      </c>
      <c r="J180" s="2" t="s">
        <v>14</v>
      </c>
      <c r="K180" s="2" t="s">
        <v>32</v>
      </c>
      <c r="L180" s="2">
        <v>36</v>
      </c>
      <c r="M180" t="e">
        <f>VLOOKUP(B180,[1]报销单!$D:$G,4,0)</f>
        <v>#N/A</v>
      </c>
    </row>
    <row r="181" ht="27" spans="1:13">
      <c r="A181" s="2">
        <v>38</v>
      </c>
      <c r="B181" s="2" t="s">
        <v>386</v>
      </c>
      <c r="C181" s="2" t="s">
        <v>387</v>
      </c>
      <c r="D181" s="2" t="s">
        <v>388</v>
      </c>
      <c r="E181" s="2">
        <v>23.31</v>
      </c>
      <c r="F181" s="2" t="s">
        <v>389</v>
      </c>
      <c r="G181" s="2">
        <f t="shared" si="2"/>
        <v>23.31</v>
      </c>
      <c r="H181" s="2">
        <v>0</v>
      </c>
      <c r="I181" s="2">
        <v>23.31</v>
      </c>
      <c r="J181" s="2" t="s">
        <v>14</v>
      </c>
      <c r="K181" s="2" t="s">
        <v>390</v>
      </c>
      <c r="L181" s="2">
        <v>38</v>
      </c>
      <c r="M181" t="e">
        <f>VLOOKUP(B181,[1]报销单!$D:$G,4,0)</f>
        <v>#N/A</v>
      </c>
    </row>
    <row r="182" ht="27" spans="1:13">
      <c r="A182" s="2">
        <v>39</v>
      </c>
      <c r="B182" s="2" t="s">
        <v>391</v>
      </c>
      <c r="C182" s="2" t="s">
        <v>387</v>
      </c>
      <c r="D182" s="2" t="s">
        <v>388</v>
      </c>
      <c r="E182" s="2">
        <v>24.5</v>
      </c>
      <c r="F182" s="2" t="s">
        <v>392</v>
      </c>
      <c r="G182" s="2">
        <f t="shared" si="2"/>
        <v>24.5</v>
      </c>
      <c r="H182" s="2">
        <v>0</v>
      </c>
      <c r="I182" s="2">
        <v>24.5</v>
      </c>
      <c r="J182" s="2" t="s">
        <v>14</v>
      </c>
      <c r="K182" s="2" t="s">
        <v>393</v>
      </c>
      <c r="L182" s="2">
        <v>39</v>
      </c>
      <c r="M182" t="e">
        <f>VLOOKUP(B182,[1]报销单!$D:$G,4,0)</f>
        <v>#N/A</v>
      </c>
    </row>
    <row r="183" ht="27" spans="1:13">
      <c r="A183" s="2">
        <v>39</v>
      </c>
      <c r="B183" s="2" t="s">
        <v>394</v>
      </c>
      <c r="C183" s="2" t="s">
        <v>387</v>
      </c>
      <c r="D183" s="2" t="s">
        <v>388</v>
      </c>
      <c r="E183" s="2">
        <v>23.45</v>
      </c>
      <c r="F183" s="2" t="s">
        <v>395</v>
      </c>
      <c r="G183" s="2">
        <f t="shared" si="2"/>
        <v>23.45</v>
      </c>
      <c r="H183" s="2">
        <v>0</v>
      </c>
      <c r="I183" s="2">
        <v>23.45</v>
      </c>
      <c r="J183" s="2" t="s">
        <v>14</v>
      </c>
      <c r="K183" s="2" t="s">
        <v>393</v>
      </c>
      <c r="L183" s="2">
        <v>39</v>
      </c>
      <c r="M183" t="e">
        <f>VLOOKUP(B183,[1]报销单!$D:$G,4,0)</f>
        <v>#N/A</v>
      </c>
    </row>
    <row r="184" ht="27" spans="1:13">
      <c r="A184" s="2">
        <v>39</v>
      </c>
      <c r="B184" s="2" t="s">
        <v>396</v>
      </c>
      <c r="C184" s="2" t="s">
        <v>387</v>
      </c>
      <c r="D184" s="2" t="s">
        <v>388</v>
      </c>
      <c r="E184" s="2">
        <v>23.8</v>
      </c>
      <c r="F184" s="2" t="s">
        <v>397</v>
      </c>
      <c r="G184" s="2">
        <f t="shared" si="2"/>
        <v>23.8</v>
      </c>
      <c r="H184" s="2">
        <v>0</v>
      </c>
      <c r="I184" s="2">
        <v>23.8</v>
      </c>
      <c r="J184" s="2" t="s">
        <v>14</v>
      </c>
      <c r="K184" s="2" t="s">
        <v>393</v>
      </c>
      <c r="L184" s="2">
        <v>39</v>
      </c>
      <c r="M184" t="e">
        <f>VLOOKUP(B184,[1]报销单!$D:$G,4,0)</f>
        <v>#N/A</v>
      </c>
    </row>
    <row r="185" ht="27" spans="1:13">
      <c r="A185" s="2">
        <v>39</v>
      </c>
      <c r="B185" s="2" t="s">
        <v>398</v>
      </c>
      <c r="C185" s="2" t="s">
        <v>387</v>
      </c>
      <c r="D185" s="2" t="s">
        <v>388</v>
      </c>
      <c r="E185" s="2">
        <v>20.3</v>
      </c>
      <c r="F185" s="2" t="s">
        <v>399</v>
      </c>
      <c r="G185" s="2">
        <f t="shared" si="2"/>
        <v>20.3</v>
      </c>
      <c r="H185" s="2">
        <v>0</v>
      </c>
      <c r="I185" s="2">
        <v>20.3</v>
      </c>
      <c r="J185" s="2" t="s">
        <v>14</v>
      </c>
      <c r="K185" s="2" t="s">
        <v>393</v>
      </c>
      <c r="L185" s="2">
        <v>39</v>
      </c>
      <c r="M185" t="e">
        <f>VLOOKUP(B185,[1]报销单!$D:$G,4,0)</f>
        <v>#N/A</v>
      </c>
    </row>
    <row r="186" ht="27" spans="1:13">
      <c r="A186" s="2">
        <v>39</v>
      </c>
      <c r="B186" s="2" t="s">
        <v>400</v>
      </c>
      <c r="C186" s="2" t="s">
        <v>387</v>
      </c>
      <c r="D186" s="2" t="s">
        <v>388</v>
      </c>
      <c r="E186" s="2">
        <v>23.46</v>
      </c>
      <c r="F186" s="2" t="s">
        <v>401</v>
      </c>
      <c r="G186" s="2">
        <f t="shared" si="2"/>
        <v>23.46</v>
      </c>
      <c r="H186" s="2">
        <v>0</v>
      </c>
      <c r="I186" s="2">
        <v>23.46</v>
      </c>
      <c r="J186" s="2" t="s">
        <v>14</v>
      </c>
      <c r="K186" s="2" t="s">
        <v>393</v>
      </c>
      <c r="L186" s="2">
        <v>39</v>
      </c>
      <c r="M186" t="e">
        <f>VLOOKUP(B186,[1]报销单!$D:$G,4,0)</f>
        <v>#N/A</v>
      </c>
    </row>
    <row r="187" ht="27" spans="1:13">
      <c r="A187" s="2">
        <v>40</v>
      </c>
      <c r="B187" s="2" t="s">
        <v>402</v>
      </c>
      <c r="C187" s="2" t="s">
        <v>387</v>
      </c>
      <c r="D187" s="2" t="s">
        <v>388</v>
      </c>
      <c r="E187" s="2">
        <v>17.39</v>
      </c>
      <c r="F187" s="2" t="s">
        <v>403</v>
      </c>
      <c r="G187" s="2">
        <f t="shared" si="2"/>
        <v>17.39</v>
      </c>
      <c r="H187" s="2">
        <v>0</v>
      </c>
      <c r="I187" s="2">
        <v>17.39</v>
      </c>
      <c r="J187" s="2" t="s">
        <v>14</v>
      </c>
      <c r="K187" s="2" t="s">
        <v>390</v>
      </c>
      <c r="L187" s="2">
        <v>40</v>
      </c>
      <c r="M187" t="e">
        <f>VLOOKUP(B187,[1]报销单!$D:$G,4,0)</f>
        <v>#N/A</v>
      </c>
    </row>
    <row r="188" ht="27" spans="1:13">
      <c r="A188" s="2">
        <v>41</v>
      </c>
      <c r="B188" s="2" t="s">
        <v>404</v>
      </c>
      <c r="C188" s="2" t="s">
        <v>387</v>
      </c>
      <c r="D188" s="2" t="s">
        <v>388</v>
      </c>
      <c r="E188" s="2">
        <v>19.6</v>
      </c>
      <c r="F188" s="2" t="s">
        <v>405</v>
      </c>
      <c r="G188" s="2">
        <f t="shared" si="2"/>
        <v>19.6</v>
      </c>
      <c r="H188" s="2">
        <v>0</v>
      </c>
      <c r="I188" s="2">
        <v>19.6</v>
      </c>
      <c r="J188" s="2" t="s">
        <v>14</v>
      </c>
      <c r="K188" s="2" t="s">
        <v>393</v>
      </c>
      <c r="L188" s="2">
        <v>41</v>
      </c>
      <c r="M188" t="e">
        <f>VLOOKUP(B188,[1]报销单!$D:$G,4,0)</f>
        <v>#N/A</v>
      </c>
    </row>
    <row r="189" ht="27" spans="1:13">
      <c r="A189" s="2">
        <v>41</v>
      </c>
      <c r="B189" s="2" t="s">
        <v>406</v>
      </c>
      <c r="C189" s="2" t="s">
        <v>387</v>
      </c>
      <c r="D189" s="2" t="s">
        <v>388</v>
      </c>
      <c r="E189" s="2">
        <v>22.05</v>
      </c>
      <c r="F189" s="2" t="s">
        <v>407</v>
      </c>
      <c r="G189" s="2">
        <f t="shared" si="2"/>
        <v>22.05</v>
      </c>
      <c r="H189" s="2">
        <v>0</v>
      </c>
      <c r="I189" s="2">
        <v>22.05</v>
      </c>
      <c r="J189" s="2" t="s">
        <v>14</v>
      </c>
      <c r="K189" s="2" t="s">
        <v>393</v>
      </c>
      <c r="L189" s="2">
        <v>41</v>
      </c>
      <c r="M189" t="e">
        <f>VLOOKUP(B189,[1]报销单!$D:$G,4,0)</f>
        <v>#N/A</v>
      </c>
    </row>
    <row r="190" ht="27" spans="1:13">
      <c r="A190" s="2">
        <v>41</v>
      </c>
      <c r="B190" s="2" t="s">
        <v>408</v>
      </c>
      <c r="C190" s="2" t="s">
        <v>387</v>
      </c>
      <c r="D190" s="2" t="s">
        <v>388</v>
      </c>
      <c r="E190" s="2">
        <v>16.45</v>
      </c>
      <c r="F190" s="2" t="s">
        <v>409</v>
      </c>
      <c r="G190" s="2">
        <f t="shared" si="2"/>
        <v>16.45</v>
      </c>
      <c r="H190" s="2">
        <v>0</v>
      </c>
      <c r="I190" s="2">
        <v>16.45</v>
      </c>
      <c r="J190" s="2" t="s">
        <v>14</v>
      </c>
      <c r="K190" s="2" t="s">
        <v>393</v>
      </c>
      <c r="L190" s="2">
        <v>41</v>
      </c>
      <c r="M190" t="e">
        <f>VLOOKUP(B190,[1]报销单!$D:$G,4,0)</f>
        <v>#N/A</v>
      </c>
    </row>
    <row r="191" ht="27" spans="1:13">
      <c r="A191" s="2">
        <v>41</v>
      </c>
      <c r="B191" s="2" t="s">
        <v>410</v>
      </c>
      <c r="C191" s="2" t="s">
        <v>387</v>
      </c>
      <c r="D191" s="2" t="s">
        <v>388</v>
      </c>
      <c r="E191" s="2">
        <v>16.45</v>
      </c>
      <c r="F191" s="2" t="s">
        <v>411</v>
      </c>
      <c r="G191" s="2">
        <f t="shared" si="2"/>
        <v>16.45</v>
      </c>
      <c r="H191" s="2">
        <v>0</v>
      </c>
      <c r="I191" s="2">
        <v>16.45</v>
      </c>
      <c r="J191" s="2" t="s">
        <v>14</v>
      </c>
      <c r="K191" s="2" t="s">
        <v>393</v>
      </c>
      <c r="L191" s="2">
        <v>41</v>
      </c>
      <c r="M191" t="e">
        <f>VLOOKUP(B191,[1]报销单!$D:$G,4,0)</f>
        <v>#N/A</v>
      </c>
    </row>
    <row r="192" ht="27" spans="1:13">
      <c r="A192" s="2">
        <v>41</v>
      </c>
      <c r="B192" s="2" t="s">
        <v>412</v>
      </c>
      <c r="C192" s="2" t="s">
        <v>387</v>
      </c>
      <c r="D192" s="2" t="s">
        <v>388</v>
      </c>
      <c r="E192" s="2">
        <v>16.1</v>
      </c>
      <c r="F192" s="2" t="s">
        <v>413</v>
      </c>
      <c r="G192" s="2">
        <f t="shared" si="2"/>
        <v>16.1</v>
      </c>
      <c r="H192" s="2">
        <v>0</v>
      </c>
      <c r="I192" s="2">
        <v>16.1</v>
      </c>
      <c r="J192" s="2" t="s">
        <v>14</v>
      </c>
      <c r="K192" s="2" t="s">
        <v>393</v>
      </c>
      <c r="L192" s="2">
        <v>41</v>
      </c>
      <c r="M192" t="e">
        <f>VLOOKUP(B192,[1]报销单!$D:$G,4,0)</f>
        <v>#N/A</v>
      </c>
    </row>
    <row r="193" ht="27" spans="1:13">
      <c r="A193" s="2">
        <v>41</v>
      </c>
      <c r="B193" s="2" t="s">
        <v>414</v>
      </c>
      <c r="C193" s="2" t="s">
        <v>387</v>
      </c>
      <c r="D193" s="2" t="s">
        <v>388</v>
      </c>
      <c r="E193" s="2">
        <v>19.25</v>
      </c>
      <c r="F193" s="2" t="s">
        <v>415</v>
      </c>
      <c r="G193" s="2">
        <f t="shared" si="2"/>
        <v>19.25</v>
      </c>
      <c r="H193" s="2">
        <v>0</v>
      </c>
      <c r="I193" s="2">
        <v>19.25</v>
      </c>
      <c r="J193" s="2" t="s">
        <v>14</v>
      </c>
      <c r="K193" s="2" t="s">
        <v>393</v>
      </c>
      <c r="L193" s="2">
        <v>41</v>
      </c>
      <c r="M193" t="e">
        <f>VLOOKUP(B193,[1]报销单!$D:$G,4,0)</f>
        <v>#N/A</v>
      </c>
    </row>
    <row r="194" ht="27" spans="1:13">
      <c r="A194" s="2">
        <v>42</v>
      </c>
      <c r="B194" s="2" t="s">
        <v>416</v>
      </c>
      <c r="C194" s="2" t="s">
        <v>387</v>
      </c>
      <c r="D194" s="2" t="s">
        <v>388</v>
      </c>
      <c r="E194" s="2">
        <v>15.05</v>
      </c>
      <c r="F194" s="2" t="s">
        <v>417</v>
      </c>
      <c r="G194" s="2">
        <f t="shared" ref="G194:G257" si="3">E194+H194</f>
        <v>15.05</v>
      </c>
      <c r="H194" s="2">
        <v>0</v>
      </c>
      <c r="I194" s="2">
        <v>15.05</v>
      </c>
      <c r="J194" s="2" t="s">
        <v>14</v>
      </c>
      <c r="K194" s="2" t="s">
        <v>393</v>
      </c>
      <c r="L194" s="2">
        <v>42</v>
      </c>
      <c r="M194" t="e">
        <f>VLOOKUP(B194,[1]报销单!$D:$G,4,0)</f>
        <v>#N/A</v>
      </c>
    </row>
    <row r="195" ht="27" spans="1:13">
      <c r="A195" s="2">
        <v>42</v>
      </c>
      <c r="B195" s="2" t="s">
        <v>418</v>
      </c>
      <c r="C195" s="2" t="s">
        <v>387</v>
      </c>
      <c r="D195" s="2" t="s">
        <v>388</v>
      </c>
      <c r="E195" s="2">
        <v>11.9</v>
      </c>
      <c r="F195" s="2" t="s">
        <v>419</v>
      </c>
      <c r="G195" s="2">
        <f t="shared" si="3"/>
        <v>11.9</v>
      </c>
      <c r="H195" s="2">
        <v>0</v>
      </c>
      <c r="I195" s="2">
        <v>11.9</v>
      </c>
      <c r="J195" s="2" t="s">
        <v>14</v>
      </c>
      <c r="K195" s="2" t="s">
        <v>393</v>
      </c>
      <c r="L195" s="2">
        <v>42</v>
      </c>
      <c r="M195" t="e">
        <f>VLOOKUP(B195,[1]报销单!$D:$G,4,0)</f>
        <v>#N/A</v>
      </c>
    </row>
    <row r="196" ht="27" spans="1:13">
      <c r="A196" s="2">
        <v>42</v>
      </c>
      <c r="B196" s="2" t="s">
        <v>420</v>
      </c>
      <c r="C196" s="2" t="s">
        <v>387</v>
      </c>
      <c r="D196" s="2" t="s">
        <v>388</v>
      </c>
      <c r="E196" s="2">
        <v>12</v>
      </c>
      <c r="F196" s="2" t="s">
        <v>421</v>
      </c>
      <c r="G196" s="2">
        <f t="shared" si="3"/>
        <v>12</v>
      </c>
      <c r="H196" s="2">
        <v>0</v>
      </c>
      <c r="I196" s="2">
        <v>12</v>
      </c>
      <c r="J196" s="2" t="s">
        <v>14</v>
      </c>
      <c r="K196" s="2" t="s">
        <v>393</v>
      </c>
      <c r="L196" s="2">
        <v>42</v>
      </c>
      <c r="M196" t="e">
        <f>VLOOKUP(B196,[1]报销单!$D:$G,4,0)</f>
        <v>#N/A</v>
      </c>
    </row>
    <row r="197" ht="27" spans="1:13">
      <c r="A197" s="2">
        <v>42</v>
      </c>
      <c r="B197" s="2" t="s">
        <v>422</v>
      </c>
      <c r="C197" s="2" t="s">
        <v>387</v>
      </c>
      <c r="D197" s="2" t="s">
        <v>388</v>
      </c>
      <c r="E197" s="2">
        <v>14.7</v>
      </c>
      <c r="F197" s="2" t="s">
        <v>423</v>
      </c>
      <c r="G197" s="2">
        <f t="shared" si="3"/>
        <v>14.7</v>
      </c>
      <c r="H197" s="2">
        <v>0</v>
      </c>
      <c r="I197" s="2">
        <v>14.7</v>
      </c>
      <c r="J197" s="2" t="s">
        <v>14</v>
      </c>
      <c r="K197" s="2" t="s">
        <v>393</v>
      </c>
      <c r="L197" s="2">
        <v>42</v>
      </c>
      <c r="M197" t="e">
        <f>VLOOKUP(B197,[1]报销单!$D:$G,4,0)</f>
        <v>#N/A</v>
      </c>
    </row>
    <row r="198" ht="27" spans="1:13">
      <c r="A198" s="2">
        <v>42</v>
      </c>
      <c r="B198" s="2" t="s">
        <v>424</v>
      </c>
      <c r="C198" s="2" t="s">
        <v>387</v>
      </c>
      <c r="D198" s="2" t="s">
        <v>388</v>
      </c>
      <c r="E198" s="2">
        <v>15.17</v>
      </c>
      <c r="F198" s="2" t="s">
        <v>425</v>
      </c>
      <c r="G198" s="2">
        <f t="shared" si="3"/>
        <v>15.17</v>
      </c>
      <c r="H198" s="2">
        <v>0</v>
      </c>
      <c r="I198" s="2">
        <v>15.17</v>
      </c>
      <c r="J198" s="2" t="s">
        <v>14</v>
      </c>
      <c r="K198" s="2" t="s">
        <v>390</v>
      </c>
      <c r="L198" s="2">
        <v>42</v>
      </c>
      <c r="M198" t="e">
        <f>VLOOKUP(B198,[1]报销单!$D:$G,4,0)</f>
        <v>#N/A</v>
      </c>
    </row>
    <row r="199" ht="27" spans="1:13">
      <c r="A199" s="2">
        <v>42</v>
      </c>
      <c r="B199" s="2" t="s">
        <v>426</v>
      </c>
      <c r="C199" s="2" t="s">
        <v>387</v>
      </c>
      <c r="D199" s="2" t="s">
        <v>388</v>
      </c>
      <c r="E199" s="2">
        <v>19.95</v>
      </c>
      <c r="F199" s="2" t="s">
        <v>427</v>
      </c>
      <c r="G199" s="2">
        <f t="shared" si="3"/>
        <v>19.95</v>
      </c>
      <c r="H199" s="2">
        <v>0</v>
      </c>
      <c r="I199" s="2">
        <v>19.95</v>
      </c>
      <c r="J199" s="2" t="s">
        <v>14</v>
      </c>
      <c r="K199" s="2" t="s">
        <v>428</v>
      </c>
      <c r="L199" s="2">
        <v>42</v>
      </c>
      <c r="M199" t="e">
        <f>VLOOKUP(B199,[1]报销单!$D:$G,4,0)</f>
        <v>#N/A</v>
      </c>
    </row>
    <row r="200" ht="27" spans="1:13">
      <c r="A200" s="2">
        <v>42</v>
      </c>
      <c r="B200" s="2" t="s">
        <v>429</v>
      </c>
      <c r="C200" s="2" t="s">
        <v>387</v>
      </c>
      <c r="D200" s="2" t="s">
        <v>388</v>
      </c>
      <c r="E200" s="2">
        <v>21.08</v>
      </c>
      <c r="F200" s="2" t="s">
        <v>430</v>
      </c>
      <c r="G200" s="2">
        <f t="shared" si="3"/>
        <v>21.08</v>
      </c>
      <c r="H200" s="2">
        <v>0</v>
      </c>
      <c r="I200" s="2">
        <v>21.08</v>
      </c>
      <c r="J200" s="2" t="s">
        <v>14</v>
      </c>
      <c r="K200" s="2" t="s">
        <v>393</v>
      </c>
      <c r="L200" s="2">
        <v>42</v>
      </c>
      <c r="M200" t="e">
        <f>VLOOKUP(B200,[1]报销单!$D:$G,4,0)</f>
        <v>#N/A</v>
      </c>
    </row>
    <row r="201" ht="27" spans="1:13">
      <c r="A201" s="2">
        <v>42</v>
      </c>
      <c r="B201" s="2" t="s">
        <v>431</v>
      </c>
      <c r="C201" s="2" t="s">
        <v>387</v>
      </c>
      <c r="D201" s="2" t="s">
        <v>388</v>
      </c>
      <c r="E201" s="2">
        <v>24.82</v>
      </c>
      <c r="F201" s="2" t="s">
        <v>432</v>
      </c>
      <c r="G201" s="2">
        <f t="shared" si="3"/>
        <v>24.82</v>
      </c>
      <c r="H201" s="2">
        <v>0</v>
      </c>
      <c r="I201" s="2">
        <v>24.82</v>
      </c>
      <c r="J201" s="2" t="s">
        <v>14</v>
      </c>
      <c r="K201" s="2" t="s">
        <v>393</v>
      </c>
      <c r="L201" s="2">
        <v>42</v>
      </c>
      <c r="M201" t="e">
        <f>VLOOKUP(B201,[1]报销单!$D:$G,4,0)</f>
        <v>#N/A</v>
      </c>
    </row>
    <row r="202" ht="27" spans="1:13">
      <c r="A202" s="2">
        <v>42</v>
      </c>
      <c r="B202" s="2" t="s">
        <v>433</v>
      </c>
      <c r="C202" s="2" t="s">
        <v>387</v>
      </c>
      <c r="D202" s="2" t="s">
        <v>388</v>
      </c>
      <c r="E202" s="2">
        <v>11.4</v>
      </c>
      <c r="F202" s="2" t="s">
        <v>434</v>
      </c>
      <c r="G202" s="2">
        <f t="shared" si="3"/>
        <v>11.4</v>
      </c>
      <c r="H202" s="2">
        <v>0</v>
      </c>
      <c r="I202" s="2">
        <v>11.4</v>
      </c>
      <c r="J202" s="2" t="s">
        <v>14</v>
      </c>
      <c r="K202" s="2" t="s">
        <v>393</v>
      </c>
      <c r="L202" s="2">
        <v>42</v>
      </c>
      <c r="M202" t="e">
        <f>VLOOKUP(B202,[1]报销单!$D:$G,4,0)</f>
        <v>#N/A</v>
      </c>
    </row>
    <row r="203" ht="27" spans="1:13">
      <c r="A203" s="2">
        <v>43</v>
      </c>
      <c r="B203" s="2" t="s">
        <v>435</v>
      </c>
      <c r="C203" s="2" t="s">
        <v>387</v>
      </c>
      <c r="D203" s="2" t="s">
        <v>436</v>
      </c>
      <c r="E203" s="2">
        <v>19.95</v>
      </c>
      <c r="F203" s="2" t="s">
        <v>437</v>
      </c>
      <c r="G203" s="2">
        <f t="shared" si="3"/>
        <v>19.95</v>
      </c>
      <c r="H203" s="2">
        <v>0</v>
      </c>
      <c r="I203" s="2">
        <v>19.95</v>
      </c>
      <c r="J203" s="2" t="s">
        <v>14</v>
      </c>
      <c r="K203" s="2" t="s">
        <v>393</v>
      </c>
      <c r="L203" s="2">
        <v>43</v>
      </c>
      <c r="M203" t="e">
        <f>VLOOKUP(B203,[1]报销单!$D:$G,4,0)</f>
        <v>#N/A</v>
      </c>
    </row>
    <row r="204" ht="40.5" spans="1:13">
      <c r="A204" s="2">
        <v>44</v>
      </c>
      <c r="B204" s="2" t="s">
        <v>438</v>
      </c>
      <c r="C204" s="2" t="s">
        <v>439</v>
      </c>
      <c r="D204" s="2" t="s">
        <v>388</v>
      </c>
      <c r="E204" s="2">
        <v>3</v>
      </c>
      <c r="F204" s="2" t="s">
        <v>440</v>
      </c>
      <c r="G204" s="2">
        <f t="shared" si="3"/>
        <v>3</v>
      </c>
      <c r="H204" s="2">
        <v>0</v>
      </c>
      <c r="I204" s="2">
        <v>3</v>
      </c>
      <c r="J204" s="2" t="s">
        <v>14</v>
      </c>
      <c r="K204" s="2" t="s">
        <v>441</v>
      </c>
      <c r="L204" s="2">
        <v>44</v>
      </c>
      <c r="M204" t="e">
        <f>VLOOKUP(B204,[1]报销单!$D:$G,4,0)</f>
        <v>#N/A</v>
      </c>
    </row>
    <row r="205" ht="40.5" spans="1:13">
      <c r="A205" s="2">
        <v>44</v>
      </c>
      <c r="B205" s="2" t="s">
        <v>442</v>
      </c>
      <c r="C205" s="2" t="s">
        <v>439</v>
      </c>
      <c r="D205" s="2" t="s">
        <v>388</v>
      </c>
      <c r="E205" s="2">
        <v>3</v>
      </c>
      <c r="F205" s="2" t="s">
        <v>443</v>
      </c>
      <c r="G205" s="2">
        <f t="shared" si="3"/>
        <v>3</v>
      </c>
      <c r="H205" s="2">
        <v>0</v>
      </c>
      <c r="I205" s="2">
        <v>3</v>
      </c>
      <c r="J205" s="2" t="s">
        <v>14</v>
      </c>
      <c r="K205" s="2" t="s">
        <v>441</v>
      </c>
      <c r="L205" s="2">
        <v>44</v>
      </c>
      <c r="M205" t="e">
        <f>VLOOKUP(B205,[1]报销单!$D:$G,4,0)</f>
        <v>#N/A</v>
      </c>
    </row>
    <row r="206" ht="40.5" spans="1:13">
      <c r="A206" s="2">
        <v>44</v>
      </c>
      <c r="B206" s="2" t="s">
        <v>444</v>
      </c>
      <c r="C206" s="2" t="s">
        <v>439</v>
      </c>
      <c r="D206" s="2" t="s">
        <v>388</v>
      </c>
      <c r="E206" s="2">
        <v>3</v>
      </c>
      <c r="F206" s="2" t="s">
        <v>445</v>
      </c>
      <c r="G206" s="2">
        <f t="shared" si="3"/>
        <v>3</v>
      </c>
      <c r="H206" s="2">
        <v>0</v>
      </c>
      <c r="I206" s="2">
        <v>3</v>
      </c>
      <c r="J206" s="2" t="s">
        <v>14</v>
      </c>
      <c r="K206" s="2" t="s">
        <v>441</v>
      </c>
      <c r="L206" s="2">
        <v>44</v>
      </c>
      <c r="M206" t="e">
        <f>VLOOKUP(B206,[1]报销单!$D:$G,4,0)</f>
        <v>#N/A</v>
      </c>
    </row>
    <row r="207" ht="40.5" spans="1:13">
      <c r="A207" s="2">
        <v>44</v>
      </c>
      <c r="B207" s="2" t="s">
        <v>446</v>
      </c>
      <c r="C207" s="2" t="s">
        <v>439</v>
      </c>
      <c r="D207" s="2" t="s">
        <v>447</v>
      </c>
      <c r="E207" s="2">
        <v>3</v>
      </c>
      <c r="F207" s="2" t="s">
        <v>448</v>
      </c>
      <c r="G207" s="2">
        <f t="shared" si="3"/>
        <v>3</v>
      </c>
      <c r="H207" s="2">
        <v>0</v>
      </c>
      <c r="I207" s="2">
        <v>3</v>
      </c>
      <c r="J207" s="2" t="s">
        <v>14</v>
      </c>
      <c r="K207" s="2" t="s">
        <v>449</v>
      </c>
      <c r="L207" s="2">
        <v>44</v>
      </c>
      <c r="M207" t="e">
        <f>VLOOKUP(B207,[1]报销单!$D:$G,4,0)</f>
        <v>#N/A</v>
      </c>
    </row>
    <row r="208" ht="40.5" spans="1:13">
      <c r="A208" s="2">
        <v>45</v>
      </c>
      <c r="B208" s="2" t="s">
        <v>450</v>
      </c>
      <c r="C208" s="2" t="s">
        <v>439</v>
      </c>
      <c r="D208" s="2"/>
      <c r="E208" s="2">
        <v>5</v>
      </c>
      <c r="F208" s="2" t="s">
        <v>451</v>
      </c>
      <c r="G208" s="2">
        <f t="shared" si="3"/>
        <v>5</v>
      </c>
      <c r="H208" s="2">
        <v>0</v>
      </c>
      <c r="I208" s="2">
        <v>5</v>
      </c>
      <c r="J208" s="2" t="s">
        <v>14</v>
      </c>
      <c r="K208" s="2" t="s">
        <v>452</v>
      </c>
      <c r="L208" s="2">
        <v>45</v>
      </c>
      <c r="M208" t="e">
        <f>VLOOKUP(B208,[1]报销单!$D:$G,4,0)</f>
        <v>#N/A</v>
      </c>
    </row>
    <row r="209" ht="40.5" spans="1:13">
      <c r="A209" s="2">
        <v>45</v>
      </c>
      <c r="B209" s="2" t="s">
        <v>453</v>
      </c>
      <c r="C209" s="2" t="s">
        <v>439</v>
      </c>
      <c r="D209" s="2" t="s">
        <v>454</v>
      </c>
      <c r="E209" s="2">
        <v>5</v>
      </c>
      <c r="F209" s="2" t="s">
        <v>455</v>
      </c>
      <c r="G209" s="2">
        <f t="shared" si="3"/>
        <v>5</v>
      </c>
      <c r="H209" s="2">
        <v>0</v>
      </c>
      <c r="I209" s="2">
        <v>5</v>
      </c>
      <c r="J209" s="2" t="s">
        <v>14</v>
      </c>
      <c r="K209" s="2" t="s">
        <v>456</v>
      </c>
      <c r="L209" s="2">
        <v>45</v>
      </c>
      <c r="M209" t="e">
        <f>VLOOKUP(B209,[1]报销单!$D:$G,4,0)</f>
        <v>#N/A</v>
      </c>
    </row>
    <row r="210" ht="40.5" spans="1:13">
      <c r="A210" s="2">
        <v>45</v>
      </c>
      <c r="B210" s="2" t="s">
        <v>457</v>
      </c>
      <c r="C210" s="2" t="s">
        <v>458</v>
      </c>
      <c r="D210" s="2" t="s">
        <v>459</v>
      </c>
      <c r="E210" s="2">
        <v>4</v>
      </c>
      <c r="F210" s="2" t="s">
        <v>460</v>
      </c>
      <c r="G210" s="2">
        <f t="shared" si="3"/>
        <v>4</v>
      </c>
      <c r="H210" s="2">
        <v>0</v>
      </c>
      <c r="I210" s="2">
        <v>4</v>
      </c>
      <c r="J210" s="2" t="s">
        <v>14</v>
      </c>
      <c r="K210" s="2" t="s">
        <v>461</v>
      </c>
      <c r="L210" s="2">
        <v>45</v>
      </c>
      <c r="M210" t="e">
        <f>VLOOKUP(B210,[1]报销单!$D:$G,4,0)</f>
        <v>#N/A</v>
      </c>
    </row>
    <row r="211" ht="40.5" spans="1:13">
      <c r="A211" s="2">
        <v>46</v>
      </c>
      <c r="B211" s="2" t="s">
        <v>462</v>
      </c>
      <c r="C211" s="2" t="s">
        <v>439</v>
      </c>
      <c r="D211" s="2" t="s">
        <v>463</v>
      </c>
      <c r="E211" s="2">
        <v>3</v>
      </c>
      <c r="F211" s="2" t="s">
        <v>464</v>
      </c>
      <c r="G211" s="2">
        <f t="shared" si="3"/>
        <v>3</v>
      </c>
      <c r="H211" s="2">
        <v>0</v>
      </c>
      <c r="I211" s="2">
        <v>3</v>
      </c>
      <c r="J211" s="2" t="s">
        <v>14</v>
      </c>
      <c r="K211" s="2" t="s">
        <v>465</v>
      </c>
      <c r="L211" s="2">
        <v>46</v>
      </c>
      <c r="M211" t="e">
        <f>VLOOKUP(B211,[1]报销单!$D:$G,4,0)</f>
        <v>#N/A</v>
      </c>
    </row>
    <row r="212" ht="27" spans="1:13">
      <c r="A212" s="2">
        <v>47</v>
      </c>
      <c r="B212" s="2" t="s">
        <v>466</v>
      </c>
      <c r="C212" s="2" t="s">
        <v>467</v>
      </c>
      <c r="D212" s="2" t="s">
        <v>468</v>
      </c>
      <c r="E212" s="2">
        <v>25</v>
      </c>
      <c r="F212" s="2" t="s">
        <v>469</v>
      </c>
      <c r="G212" s="2">
        <f t="shared" si="3"/>
        <v>25</v>
      </c>
      <c r="H212" s="2">
        <v>0</v>
      </c>
      <c r="I212" s="2">
        <v>25</v>
      </c>
      <c r="J212" s="2" t="s">
        <v>14</v>
      </c>
      <c r="K212" s="2" t="s">
        <v>470</v>
      </c>
      <c r="L212" s="2">
        <v>47</v>
      </c>
      <c r="M212" t="e">
        <f>VLOOKUP(B212,[1]报销单!$D:$G,4,0)</f>
        <v>#N/A</v>
      </c>
    </row>
    <row r="213" ht="27" spans="1:13">
      <c r="A213" s="2">
        <v>48</v>
      </c>
      <c r="B213" s="2" t="s">
        <v>471</v>
      </c>
      <c r="C213" s="2" t="s">
        <v>472</v>
      </c>
      <c r="D213" s="2" t="s">
        <v>473</v>
      </c>
      <c r="E213" s="2">
        <v>4</v>
      </c>
      <c r="F213" s="2" t="s">
        <v>474</v>
      </c>
      <c r="G213" s="2">
        <f t="shared" si="3"/>
        <v>4</v>
      </c>
      <c r="H213" s="2">
        <v>0</v>
      </c>
      <c r="I213" s="2">
        <v>4</v>
      </c>
      <c r="J213" s="2" t="s">
        <v>14</v>
      </c>
      <c r="K213" s="2" t="s">
        <v>475</v>
      </c>
      <c r="L213" s="2">
        <v>48</v>
      </c>
      <c r="M213" t="e">
        <f>VLOOKUP(B213,[1]报销单!$D:$G,4,0)</f>
        <v>#N/A</v>
      </c>
    </row>
    <row r="214" ht="27" spans="1:13">
      <c r="A214" s="2">
        <v>49</v>
      </c>
      <c r="B214" s="2" t="s">
        <v>476</v>
      </c>
      <c r="C214" s="2" t="s">
        <v>477</v>
      </c>
      <c r="D214" s="2" t="s">
        <v>388</v>
      </c>
      <c r="E214" s="2">
        <v>25</v>
      </c>
      <c r="F214" s="2" t="s">
        <v>478</v>
      </c>
      <c r="G214" s="2">
        <f t="shared" si="3"/>
        <v>25</v>
      </c>
      <c r="H214" s="2">
        <v>0</v>
      </c>
      <c r="I214" s="2">
        <v>25</v>
      </c>
      <c r="J214" s="2" t="s">
        <v>14</v>
      </c>
      <c r="K214" s="2" t="s">
        <v>479</v>
      </c>
      <c r="L214" s="2">
        <v>49</v>
      </c>
      <c r="M214" t="e">
        <f>VLOOKUP(B214,[1]报销单!$D:$G,4,0)</f>
        <v>#N/A</v>
      </c>
    </row>
    <row r="215" ht="27" spans="1:13">
      <c r="A215" s="2">
        <v>49</v>
      </c>
      <c r="B215" s="2" t="s">
        <v>480</v>
      </c>
      <c r="C215" s="2" t="s">
        <v>477</v>
      </c>
      <c r="D215" s="2" t="s">
        <v>388</v>
      </c>
      <c r="E215" s="2">
        <v>25</v>
      </c>
      <c r="F215" s="2" t="s">
        <v>481</v>
      </c>
      <c r="G215" s="2">
        <f t="shared" si="3"/>
        <v>25</v>
      </c>
      <c r="H215" s="2">
        <v>0</v>
      </c>
      <c r="I215" s="2">
        <v>25</v>
      </c>
      <c r="J215" s="2" t="s">
        <v>14</v>
      </c>
      <c r="K215" s="2" t="s">
        <v>479</v>
      </c>
      <c r="L215" s="2">
        <v>49</v>
      </c>
      <c r="M215" t="e">
        <f>VLOOKUP(B215,[1]报销单!$D:$G,4,0)</f>
        <v>#N/A</v>
      </c>
    </row>
    <row r="216" ht="27" spans="1:13">
      <c r="A216" s="2">
        <v>49</v>
      </c>
      <c r="B216" s="2" t="s">
        <v>482</v>
      </c>
      <c r="C216" s="2" t="s">
        <v>477</v>
      </c>
      <c r="D216" s="2" t="s">
        <v>483</v>
      </c>
      <c r="E216" s="2">
        <v>25</v>
      </c>
      <c r="F216" s="2" t="s">
        <v>484</v>
      </c>
      <c r="G216" s="2">
        <f t="shared" si="3"/>
        <v>25</v>
      </c>
      <c r="H216" s="2">
        <v>0</v>
      </c>
      <c r="I216" s="2">
        <v>25</v>
      </c>
      <c r="J216" s="2" t="s">
        <v>14</v>
      </c>
      <c r="K216" s="2" t="s">
        <v>479</v>
      </c>
      <c r="L216" s="2">
        <v>49</v>
      </c>
      <c r="M216" t="e">
        <f>VLOOKUP(B216,[1]报销单!$D:$G,4,0)</f>
        <v>#N/A</v>
      </c>
    </row>
    <row r="217" ht="27" spans="1:13">
      <c r="A217" s="2">
        <v>50</v>
      </c>
      <c r="B217" s="2" t="s">
        <v>485</v>
      </c>
      <c r="C217" s="2" t="s">
        <v>477</v>
      </c>
      <c r="D217" s="2" t="s">
        <v>486</v>
      </c>
      <c r="E217" s="2">
        <v>50</v>
      </c>
      <c r="F217" s="2" t="s">
        <v>487</v>
      </c>
      <c r="G217" s="2">
        <f t="shared" si="3"/>
        <v>50</v>
      </c>
      <c r="H217" s="2">
        <v>0</v>
      </c>
      <c r="I217" s="2">
        <v>50</v>
      </c>
      <c r="J217" s="2" t="s">
        <v>14</v>
      </c>
      <c r="K217" s="2" t="s">
        <v>479</v>
      </c>
      <c r="L217" s="2">
        <v>50</v>
      </c>
      <c r="M217" t="e">
        <f>VLOOKUP(B217,[1]报销单!$D:$G,4,0)</f>
        <v>#N/A</v>
      </c>
    </row>
    <row r="218" ht="27" spans="1:13">
      <c r="A218" s="2">
        <v>51</v>
      </c>
      <c r="B218" s="2" t="s">
        <v>488</v>
      </c>
      <c r="C218" s="2" t="s">
        <v>489</v>
      </c>
      <c r="D218" s="2" t="s">
        <v>490</v>
      </c>
      <c r="E218" s="2">
        <v>40</v>
      </c>
      <c r="F218" s="2" t="s">
        <v>491</v>
      </c>
      <c r="G218" s="2">
        <f t="shared" si="3"/>
        <v>40</v>
      </c>
      <c r="H218" s="2">
        <v>0</v>
      </c>
      <c r="I218" s="2">
        <v>40</v>
      </c>
      <c r="J218" s="2" t="s">
        <v>14</v>
      </c>
      <c r="K218" s="2" t="s">
        <v>492</v>
      </c>
      <c r="L218" s="2">
        <v>51</v>
      </c>
      <c r="M218" t="e">
        <f>VLOOKUP(B218,[1]报销单!$D:$G,4,0)</f>
        <v>#N/A</v>
      </c>
    </row>
    <row r="219" ht="27" spans="1:13">
      <c r="A219" s="2">
        <v>52</v>
      </c>
      <c r="B219" s="2" t="s">
        <v>493</v>
      </c>
      <c r="C219" s="2" t="s">
        <v>494</v>
      </c>
      <c r="D219" s="2" t="s">
        <v>388</v>
      </c>
      <c r="E219" s="2">
        <v>11</v>
      </c>
      <c r="F219" s="2" t="s">
        <v>495</v>
      </c>
      <c r="G219" s="2">
        <f t="shared" si="3"/>
        <v>11</v>
      </c>
      <c r="H219" s="2">
        <v>0</v>
      </c>
      <c r="I219" s="2">
        <v>11</v>
      </c>
      <c r="J219" s="2" t="s">
        <v>14</v>
      </c>
      <c r="K219" s="2" t="s">
        <v>496</v>
      </c>
      <c r="L219" s="2">
        <v>52</v>
      </c>
      <c r="M219" t="e">
        <f>VLOOKUP(B219,[1]报销单!$D:$G,4,0)</f>
        <v>#N/A</v>
      </c>
    </row>
    <row r="220" ht="27" spans="1:13">
      <c r="A220" s="2">
        <v>52</v>
      </c>
      <c r="B220" s="2" t="s">
        <v>497</v>
      </c>
      <c r="C220" s="2" t="s">
        <v>494</v>
      </c>
      <c r="D220" s="2" t="s">
        <v>498</v>
      </c>
      <c r="E220" s="2">
        <v>33</v>
      </c>
      <c r="F220" s="2" t="s">
        <v>499</v>
      </c>
      <c r="G220" s="2">
        <f t="shared" si="3"/>
        <v>33</v>
      </c>
      <c r="H220" s="2">
        <v>0</v>
      </c>
      <c r="I220" s="2">
        <v>33</v>
      </c>
      <c r="J220" s="2" t="s">
        <v>14</v>
      </c>
      <c r="K220" s="2" t="s">
        <v>496</v>
      </c>
      <c r="L220" s="2">
        <v>52</v>
      </c>
      <c r="M220" t="e">
        <f>VLOOKUP(B220,[1]报销单!$D:$G,4,0)</f>
        <v>#N/A</v>
      </c>
    </row>
    <row r="221" ht="27" spans="1:13">
      <c r="A221" s="2">
        <v>53</v>
      </c>
      <c r="B221" s="2" t="s">
        <v>500</v>
      </c>
      <c r="C221" s="2" t="s">
        <v>494</v>
      </c>
      <c r="D221" s="2" t="s">
        <v>388</v>
      </c>
      <c r="E221" s="2">
        <v>30</v>
      </c>
      <c r="F221" s="2" t="s">
        <v>501</v>
      </c>
      <c r="G221" s="2">
        <f t="shared" si="3"/>
        <v>30</v>
      </c>
      <c r="H221" s="2">
        <v>0</v>
      </c>
      <c r="I221" s="2">
        <v>30</v>
      </c>
      <c r="J221" s="2" t="s">
        <v>14</v>
      </c>
      <c r="K221" s="2" t="s">
        <v>496</v>
      </c>
      <c r="L221" s="2">
        <v>53</v>
      </c>
      <c r="M221" t="e">
        <f>VLOOKUP(B221,[1]报销单!$D:$G,4,0)</f>
        <v>#N/A</v>
      </c>
    </row>
    <row r="222" ht="27" spans="1:13">
      <c r="A222" s="2">
        <v>53</v>
      </c>
      <c r="B222" s="2" t="s">
        <v>502</v>
      </c>
      <c r="C222" s="2" t="s">
        <v>494</v>
      </c>
      <c r="D222" s="2" t="s">
        <v>503</v>
      </c>
      <c r="E222" s="2">
        <v>22</v>
      </c>
      <c r="F222" s="2" t="s">
        <v>504</v>
      </c>
      <c r="G222" s="2">
        <f t="shared" si="3"/>
        <v>22</v>
      </c>
      <c r="H222" s="2">
        <v>0</v>
      </c>
      <c r="I222" s="2">
        <v>22</v>
      </c>
      <c r="J222" s="2" t="s">
        <v>14</v>
      </c>
      <c r="K222" s="2" t="s">
        <v>496</v>
      </c>
      <c r="L222" s="2">
        <v>53</v>
      </c>
      <c r="M222" t="e">
        <f>VLOOKUP(B222,[1]报销单!$D:$G,4,0)</f>
        <v>#N/A</v>
      </c>
    </row>
    <row r="223" ht="27" spans="1:13">
      <c r="A223" s="2">
        <v>54</v>
      </c>
      <c r="B223" s="2" t="s">
        <v>505</v>
      </c>
      <c r="C223" s="2" t="s">
        <v>494</v>
      </c>
      <c r="D223" s="2" t="s">
        <v>506</v>
      </c>
      <c r="E223" s="2">
        <v>11</v>
      </c>
      <c r="F223" s="2" t="s">
        <v>507</v>
      </c>
      <c r="G223" s="2">
        <f t="shared" si="3"/>
        <v>11</v>
      </c>
      <c r="H223" s="2">
        <v>0</v>
      </c>
      <c r="I223" s="2">
        <v>11</v>
      </c>
      <c r="J223" s="2" t="s">
        <v>14</v>
      </c>
      <c r="K223" s="2" t="s">
        <v>496</v>
      </c>
      <c r="L223" s="2">
        <v>54</v>
      </c>
      <c r="M223" t="e">
        <f>VLOOKUP(B223,[1]报销单!$D:$G,4,0)</f>
        <v>#N/A</v>
      </c>
    </row>
    <row r="224" ht="27" spans="1:13">
      <c r="A224" s="2">
        <v>55</v>
      </c>
      <c r="B224" s="2" t="s">
        <v>508</v>
      </c>
      <c r="C224" s="2" t="s">
        <v>509</v>
      </c>
      <c r="D224" s="2" t="s">
        <v>388</v>
      </c>
      <c r="E224" s="2">
        <v>69</v>
      </c>
      <c r="F224" s="2" t="s">
        <v>510</v>
      </c>
      <c r="G224" s="2">
        <f t="shared" si="3"/>
        <v>69</v>
      </c>
      <c r="H224" s="2">
        <v>0</v>
      </c>
      <c r="I224" s="2">
        <v>69</v>
      </c>
      <c r="J224" s="2" t="s">
        <v>14</v>
      </c>
      <c r="K224" s="2" t="s">
        <v>511</v>
      </c>
      <c r="L224" s="2">
        <v>55</v>
      </c>
      <c r="M224" t="e">
        <f>VLOOKUP(B224,[1]报销单!$D:$G,4,0)</f>
        <v>#N/A</v>
      </c>
    </row>
    <row r="225" ht="27" spans="1:13">
      <c r="A225" s="2">
        <v>56</v>
      </c>
      <c r="B225" s="2" t="s">
        <v>512</v>
      </c>
      <c r="C225" s="2" t="s">
        <v>509</v>
      </c>
      <c r="D225" s="2" t="s">
        <v>513</v>
      </c>
      <c r="E225" s="2">
        <v>23</v>
      </c>
      <c r="F225" s="2" t="s">
        <v>514</v>
      </c>
      <c r="G225" s="2">
        <f t="shared" si="3"/>
        <v>23</v>
      </c>
      <c r="H225" s="2">
        <v>0</v>
      </c>
      <c r="I225" s="2">
        <v>23</v>
      </c>
      <c r="J225" s="2" t="s">
        <v>14</v>
      </c>
      <c r="K225" s="2" t="s">
        <v>515</v>
      </c>
      <c r="L225" s="2">
        <v>56</v>
      </c>
      <c r="M225" t="e">
        <f>VLOOKUP(B225,[1]报销单!$D:$G,4,0)</f>
        <v>#N/A</v>
      </c>
    </row>
    <row r="226" ht="27" spans="1:13">
      <c r="A226" s="2">
        <v>57</v>
      </c>
      <c r="B226" s="2" t="s">
        <v>516</v>
      </c>
      <c r="C226" s="2" t="s">
        <v>517</v>
      </c>
      <c r="D226" s="2" t="s">
        <v>388</v>
      </c>
      <c r="E226" s="2">
        <v>25</v>
      </c>
      <c r="F226" s="2" t="s">
        <v>518</v>
      </c>
      <c r="G226" s="2">
        <f t="shared" si="3"/>
        <v>25</v>
      </c>
      <c r="H226" s="2">
        <v>0</v>
      </c>
      <c r="I226" s="2">
        <v>25</v>
      </c>
      <c r="J226" s="2" t="s">
        <v>14</v>
      </c>
      <c r="K226" s="2" t="s">
        <v>519</v>
      </c>
      <c r="L226" s="2">
        <v>57</v>
      </c>
      <c r="M226" t="e">
        <f>VLOOKUP(B226,[1]报销单!$D:$G,4,0)</f>
        <v>#N/A</v>
      </c>
    </row>
    <row r="227" ht="27" spans="1:13">
      <c r="A227" s="2">
        <v>57</v>
      </c>
      <c r="B227" s="2" t="s">
        <v>520</v>
      </c>
      <c r="C227" s="2" t="s">
        <v>517</v>
      </c>
      <c r="D227" s="2" t="s">
        <v>521</v>
      </c>
      <c r="E227" s="2">
        <v>25</v>
      </c>
      <c r="F227" s="2" t="s">
        <v>522</v>
      </c>
      <c r="G227" s="2">
        <f t="shared" si="3"/>
        <v>25</v>
      </c>
      <c r="H227" s="2">
        <v>0</v>
      </c>
      <c r="I227" s="2">
        <v>25</v>
      </c>
      <c r="J227" s="2" t="s">
        <v>14</v>
      </c>
      <c r="K227" s="2" t="s">
        <v>519</v>
      </c>
      <c r="L227" s="2">
        <v>57</v>
      </c>
      <c r="M227" t="e">
        <f>VLOOKUP(B227,[1]报销单!$D:$G,4,0)</f>
        <v>#N/A</v>
      </c>
    </row>
    <row r="228" ht="27" spans="1:13">
      <c r="A228" s="2">
        <v>58</v>
      </c>
      <c r="B228" s="2" t="s">
        <v>523</v>
      </c>
      <c r="C228" s="2" t="s">
        <v>517</v>
      </c>
      <c r="D228" s="2" t="s">
        <v>388</v>
      </c>
      <c r="E228" s="2">
        <v>25</v>
      </c>
      <c r="F228" s="2" t="s">
        <v>524</v>
      </c>
      <c r="G228" s="2">
        <f t="shared" si="3"/>
        <v>25</v>
      </c>
      <c r="H228" s="2">
        <v>0</v>
      </c>
      <c r="I228" s="2">
        <v>25</v>
      </c>
      <c r="J228" s="2" t="s">
        <v>14</v>
      </c>
      <c r="K228" s="2" t="s">
        <v>519</v>
      </c>
      <c r="L228" s="2">
        <v>58</v>
      </c>
      <c r="M228" t="e">
        <f>VLOOKUP(B228,[1]报销单!$D:$G,4,0)</f>
        <v>#N/A</v>
      </c>
    </row>
    <row r="229" ht="27" spans="1:13">
      <c r="A229" s="2">
        <v>58</v>
      </c>
      <c r="B229" s="2" t="s">
        <v>525</v>
      </c>
      <c r="C229" s="2" t="s">
        <v>517</v>
      </c>
      <c r="D229" s="2" t="s">
        <v>388</v>
      </c>
      <c r="E229" s="2">
        <v>25</v>
      </c>
      <c r="F229" s="2" t="s">
        <v>526</v>
      </c>
      <c r="G229" s="2">
        <f t="shared" si="3"/>
        <v>25</v>
      </c>
      <c r="H229" s="2">
        <v>0</v>
      </c>
      <c r="I229" s="2">
        <v>25</v>
      </c>
      <c r="J229" s="2" t="s">
        <v>14</v>
      </c>
      <c r="K229" s="2" t="s">
        <v>527</v>
      </c>
      <c r="L229" s="2">
        <v>58</v>
      </c>
      <c r="M229" t="e">
        <f>VLOOKUP(B229,[1]报销单!$D:$G,4,0)</f>
        <v>#N/A</v>
      </c>
    </row>
    <row r="230" ht="27" spans="1:13">
      <c r="A230" s="2">
        <v>58</v>
      </c>
      <c r="B230" s="2" t="s">
        <v>528</v>
      </c>
      <c r="C230" s="2" t="s">
        <v>517</v>
      </c>
      <c r="D230" s="2" t="s">
        <v>388</v>
      </c>
      <c r="E230" s="2">
        <v>25</v>
      </c>
      <c r="F230" s="2" t="s">
        <v>529</v>
      </c>
      <c r="G230" s="2">
        <f t="shared" si="3"/>
        <v>25</v>
      </c>
      <c r="H230" s="2">
        <v>0</v>
      </c>
      <c r="I230" s="2">
        <v>25</v>
      </c>
      <c r="J230" s="2" t="s">
        <v>14</v>
      </c>
      <c r="K230" s="2" t="s">
        <v>527</v>
      </c>
      <c r="L230" s="2">
        <v>58</v>
      </c>
      <c r="M230" t="e">
        <f>VLOOKUP(B230,[1]报销单!$D:$G,4,0)</f>
        <v>#N/A</v>
      </c>
    </row>
    <row r="231" ht="27" spans="1:13">
      <c r="A231" s="2">
        <v>58</v>
      </c>
      <c r="B231" s="2" t="s">
        <v>530</v>
      </c>
      <c r="C231" s="2" t="s">
        <v>517</v>
      </c>
      <c r="D231" s="2" t="s">
        <v>531</v>
      </c>
      <c r="E231" s="2">
        <v>25</v>
      </c>
      <c r="F231" s="2" t="s">
        <v>532</v>
      </c>
      <c r="G231" s="2">
        <f t="shared" si="3"/>
        <v>25</v>
      </c>
      <c r="H231" s="2">
        <v>0</v>
      </c>
      <c r="I231" s="2">
        <v>25</v>
      </c>
      <c r="J231" s="2" t="s">
        <v>14</v>
      </c>
      <c r="K231" s="2" t="s">
        <v>527</v>
      </c>
      <c r="L231" s="2">
        <v>58</v>
      </c>
      <c r="M231" t="e">
        <f>VLOOKUP(B231,[1]报销单!$D:$G,4,0)</f>
        <v>#N/A</v>
      </c>
    </row>
    <row r="232" ht="27" spans="1:13">
      <c r="A232" s="2">
        <v>59</v>
      </c>
      <c r="B232" s="2" t="s">
        <v>533</v>
      </c>
      <c r="C232" s="2" t="s">
        <v>517</v>
      </c>
      <c r="D232" s="2" t="s">
        <v>388</v>
      </c>
      <c r="E232" s="2">
        <v>25</v>
      </c>
      <c r="F232" s="2" t="s">
        <v>534</v>
      </c>
      <c r="G232" s="2">
        <f t="shared" si="3"/>
        <v>25</v>
      </c>
      <c r="H232" s="2">
        <v>0</v>
      </c>
      <c r="I232" s="2">
        <v>25</v>
      </c>
      <c r="J232" s="2" t="s">
        <v>14</v>
      </c>
      <c r="K232" s="2" t="s">
        <v>527</v>
      </c>
      <c r="L232" s="2">
        <v>59</v>
      </c>
      <c r="M232" t="e">
        <f>VLOOKUP(B232,[1]报销单!$D:$G,4,0)</f>
        <v>#N/A</v>
      </c>
    </row>
    <row r="233" ht="27" spans="1:13">
      <c r="A233" s="2">
        <v>59</v>
      </c>
      <c r="B233" s="2" t="s">
        <v>535</v>
      </c>
      <c r="C233" s="2" t="s">
        <v>517</v>
      </c>
      <c r="D233" s="2" t="s">
        <v>536</v>
      </c>
      <c r="E233" s="2">
        <v>25</v>
      </c>
      <c r="F233" s="2" t="s">
        <v>537</v>
      </c>
      <c r="G233" s="2">
        <f t="shared" si="3"/>
        <v>25</v>
      </c>
      <c r="H233" s="2">
        <v>0</v>
      </c>
      <c r="I233" s="2">
        <v>25</v>
      </c>
      <c r="J233" s="2" t="s">
        <v>14</v>
      </c>
      <c r="K233" s="2" t="s">
        <v>519</v>
      </c>
      <c r="L233" s="2">
        <v>59</v>
      </c>
      <c r="M233" t="e">
        <f>VLOOKUP(B233,[1]报销单!$D:$G,4,0)</f>
        <v>#N/A</v>
      </c>
    </row>
    <row r="234" ht="27" spans="1:13">
      <c r="A234" s="2">
        <v>60</v>
      </c>
      <c r="B234" s="2" t="s">
        <v>538</v>
      </c>
      <c r="C234" s="2" t="s">
        <v>539</v>
      </c>
      <c r="D234" s="2" t="s">
        <v>540</v>
      </c>
      <c r="E234" s="2">
        <v>50</v>
      </c>
      <c r="F234" s="2" t="s">
        <v>541</v>
      </c>
      <c r="G234" s="2">
        <f t="shared" si="3"/>
        <v>50</v>
      </c>
      <c r="H234" s="2">
        <v>0</v>
      </c>
      <c r="I234" s="2">
        <v>50</v>
      </c>
      <c r="J234" s="2" t="s">
        <v>14</v>
      </c>
      <c r="K234" s="2" t="s">
        <v>542</v>
      </c>
      <c r="L234" s="2">
        <v>60</v>
      </c>
      <c r="M234" t="e">
        <f>VLOOKUP(B234,[1]报销单!$D:$G,4,0)</f>
        <v>#N/A</v>
      </c>
    </row>
    <row r="235" ht="27" spans="1:13">
      <c r="A235" s="2">
        <v>61</v>
      </c>
      <c r="B235" s="2" t="s">
        <v>543</v>
      </c>
      <c r="C235" s="2" t="s">
        <v>544</v>
      </c>
      <c r="D235" s="2" t="s">
        <v>388</v>
      </c>
      <c r="E235" s="2">
        <v>30.9</v>
      </c>
      <c r="F235" s="2" t="s">
        <v>545</v>
      </c>
      <c r="G235" s="2">
        <f t="shared" si="3"/>
        <v>30.8</v>
      </c>
      <c r="H235" s="2">
        <v>-0.1</v>
      </c>
      <c r="I235" s="2">
        <v>31</v>
      </c>
      <c r="J235" s="2" t="s">
        <v>14</v>
      </c>
      <c r="K235" s="2" t="s">
        <v>546</v>
      </c>
      <c r="L235" s="2">
        <v>61</v>
      </c>
      <c r="M235" t="e">
        <f>VLOOKUP(B235,[1]报销单!$D:$G,4,0)</f>
        <v>#N/A</v>
      </c>
    </row>
    <row r="236" ht="27" spans="1:13">
      <c r="A236" s="2">
        <v>61</v>
      </c>
      <c r="B236" s="2" t="s">
        <v>547</v>
      </c>
      <c r="C236" s="2" t="s">
        <v>544</v>
      </c>
      <c r="D236" s="2" t="s">
        <v>388</v>
      </c>
      <c r="E236" s="2">
        <v>18.7</v>
      </c>
      <c r="F236" s="2" t="s">
        <v>548</v>
      </c>
      <c r="G236" s="2">
        <f t="shared" si="3"/>
        <v>18.7</v>
      </c>
      <c r="H236" s="2">
        <v>0</v>
      </c>
      <c r="I236" s="2">
        <v>18.7</v>
      </c>
      <c r="J236" s="2" t="s">
        <v>14</v>
      </c>
      <c r="K236" s="2" t="s">
        <v>546</v>
      </c>
      <c r="L236" s="2">
        <v>61</v>
      </c>
      <c r="M236" t="e">
        <f>VLOOKUP(B236,[1]报销单!$D:$G,4,0)</f>
        <v>#N/A</v>
      </c>
    </row>
    <row r="237" ht="27" spans="1:13">
      <c r="A237" s="2">
        <v>61</v>
      </c>
      <c r="B237" s="2" t="s">
        <v>549</v>
      </c>
      <c r="C237" s="2" t="s">
        <v>544</v>
      </c>
      <c r="D237" s="2" t="s">
        <v>550</v>
      </c>
      <c r="E237" s="2">
        <v>22.4</v>
      </c>
      <c r="F237" s="2" t="s">
        <v>551</v>
      </c>
      <c r="G237" s="2">
        <f t="shared" si="3"/>
        <v>22.4</v>
      </c>
      <c r="H237" s="2">
        <v>0</v>
      </c>
      <c r="I237" s="2">
        <v>22.4</v>
      </c>
      <c r="J237" s="2" t="s">
        <v>14</v>
      </c>
      <c r="K237" s="2" t="s">
        <v>546</v>
      </c>
      <c r="L237" s="2">
        <v>61</v>
      </c>
      <c r="M237" t="e">
        <f>VLOOKUP(B237,[1]报销单!$D:$G,4,0)</f>
        <v>#N/A</v>
      </c>
    </row>
    <row r="238" ht="27" spans="1:13">
      <c r="A238" s="2">
        <v>62</v>
      </c>
      <c r="B238" s="2" t="s">
        <v>552</v>
      </c>
      <c r="C238" s="2" t="s">
        <v>544</v>
      </c>
      <c r="D238" s="2" t="s">
        <v>388</v>
      </c>
      <c r="E238" s="2">
        <v>20.24</v>
      </c>
      <c r="F238" s="2" t="s">
        <v>553</v>
      </c>
      <c r="G238" s="2">
        <f t="shared" si="3"/>
        <v>20.24</v>
      </c>
      <c r="H238" s="2">
        <v>0</v>
      </c>
      <c r="I238" s="2">
        <v>20.2447</v>
      </c>
      <c r="J238" s="2" t="s">
        <v>14</v>
      </c>
      <c r="K238" s="2" t="s">
        <v>546</v>
      </c>
      <c r="L238" s="2">
        <v>62</v>
      </c>
      <c r="M238" t="e">
        <f>VLOOKUP(B238,[1]报销单!$D:$G,4,0)</f>
        <v>#N/A</v>
      </c>
    </row>
    <row r="239" ht="27" spans="1:13">
      <c r="A239" s="2">
        <v>62</v>
      </c>
      <c r="B239" s="2" t="s">
        <v>554</v>
      </c>
      <c r="C239" s="2" t="s">
        <v>544</v>
      </c>
      <c r="D239" s="2" t="s">
        <v>388</v>
      </c>
      <c r="E239" s="2">
        <v>82.78</v>
      </c>
      <c r="F239" s="2" t="s">
        <v>555</v>
      </c>
      <c r="G239" s="2">
        <f t="shared" si="3"/>
        <v>82.78</v>
      </c>
      <c r="H239" s="2">
        <v>0</v>
      </c>
      <c r="I239" s="2">
        <v>82.783</v>
      </c>
      <c r="J239" s="2" t="s">
        <v>14</v>
      </c>
      <c r="K239" s="2" t="s">
        <v>546</v>
      </c>
      <c r="L239" s="2">
        <v>62</v>
      </c>
      <c r="M239" t="e">
        <f>VLOOKUP(B239,[1]报销单!$D:$G,4,0)</f>
        <v>#N/A</v>
      </c>
    </row>
    <row r="240" ht="27" spans="1:13">
      <c r="A240" s="2">
        <v>62</v>
      </c>
      <c r="B240" s="2" t="s">
        <v>556</v>
      </c>
      <c r="C240" s="2" t="s">
        <v>544</v>
      </c>
      <c r="D240" s="2" t="s">
        <v>388</v>
      </c>
      <c r="E240" s="2">
        <v>18.74</v>
      </c>
      <c r="F240" s="2" t="s">
        <v>557</v>
      </c>
      <c r="G240" s="2">
        <f t="shared" si="3"/>
        <v>18.74</v>
      </c>
      <c r="H240" s="2">
        <v>0</v>
      </c>
      <c r="I240" s="2">
        <v>18.7414</v>
      </c>
      <c r="J240" s="2" t="s">
        <v>14</v>
      </c>
      <c r="K240" s="2" t="s">
        <v>546</v>
      </c>
      <c r="L240" s="2">
        <v>62</v>
      </c>
      <c r="M240" t="e">
        <f>VLOOKUP(B240,[1]报销单!$D:$G,4,0)</f>
        <v>#N/A</v>
      </c>
    </row>
    <row r="241" ht="27" spans="1:13">
      <c r="A241" s="2">
        <v>62</v>
      </c>
      <c r="B241" s="2" t="s">
        <v>558</v>
      </c>
      <c r="C241" s="2" t="s">
        <v>544</v>
      </c>
      <c r="D241" s="2" t="s">
        <v>388</v>
      </c>
      <c r="E241" s="2">
        <v>20.24</v>
      </c>
      <c r="F241" s="2" t="s">
        <v>559</v>
      </c>
      <c r="G241" s="2">
        <f t="shared" si="3"/>
        <v>20.24</v>
      </c>
      <c r="H241" s="2">
        <v>0</v>
      </c>
      <c r="I241" s="2">
        <v>20.2447</v>
      </c>
      <c r="J241" s="2" t="s">
        <v>14</v>
      </c>
      <c r="K241" s="2" t="s">
        <v>546</v>
      </c>
      <c r="L241" s="2">
        <v>62</v>
      </c>
      <c r="M241" t="e">
        <f>VLOOKUP(B241,[1]报销单!$D:$G,4,0)</f>
        <v>#N/A</v>
      </c>
    </row>
    <row r="242" ht="27" spans="1:13">
      <c r="A242" s="2">
        <v>62</v>
      </c>
      <c r="B242" s="2" t="s">
        <v>560</v>
      </c>
      <c r="C242" s="2" t="s">
        <v>544</v>
      </c>
      <c r="D242" s="2" t="s">
        <v>388</v>
      </c>
      <c r="E242" s="2">
        <v>20.24</v>
      </c>
      <c r="F242" s="2" t="s">
        <v>561</v>
      </c>
      <c r="G242" s="2">
        <f t="shared" si="3"/>
        <v>20.24</v>
      </c>
      <c r="H242" s="2">
        <v>0</v>
      </c>
      <c r="I242" s="2">
        <v>20.2447</v>
      </c>
      <c r="J242" s="2" t="s">
        <v>14</v>
      </c>
      <c r="K242" s="2" t="s">
        <v>546</v>
      </c>
      <c r="L242" s="2">
        <v>62</v>
      </c>
      <c r="M242" t="e">
        <f>VLOOKUP(B242,[1]报销单!$D:$G,4,0)</f>
        <v>#N/A</v>
      </c>
    </row>
    <row r="243" ht="27" spans="1:13">
      <c r="A243" s="2">
        <v>62</v>
      </c>
      <c r="B243" s="2" t="s">
        <v>562</v>
      </c>
      <c r="C243" s="2" t="s">
        <v>544</v>
      </c>
      <c r="D243" s="2" t="s">
        <v>563</v>
      </c>
      <c r="E243" s="2">
        <v>18.74</v>
      </c>
      <c r="F243" s="2" t="s">
        <v>564</v>
      </c>
      <c r="G243" s="2">
        <f t="shared" si="3"/>
        <v>18.74</v>
      </c>
      <c r="H243" s="2">
        <v>0</v>
      </c>
      <c r="I243" s="2">
        <v>18.7414</v>
      </c>
      <c r="J243" s="2" t="s">
        <v>14</v>
      </c>
      <c r="K243" s="2" t="s">
        <v>546</v>
      </c>
      <c r="L243" s="2">
        <v>62</v>
      </c>
      <c r="M243" t="e">
        <f>VLOOKUP(B243,[1]报销单!$D:$G,4,0)</f>
        <v>#N/A</v>
      </c>
    </row>
    <row r="244" ht="27" spans="1:13">
      <c r="A244" s="2">
        <v>63</v>
      </c>
      <c r="B244" s="2" t="s">
        <v>565</v>
      </c>
      <c r="C244" s="2" t="s">
        <v>566</v>
      </c>
      <c r="D244" s="2" t="s">
        <v>567</v>
      </c>
      <c r="E244" s="2">
        <v>50</v>
      </c>
      <c r="F244" s="2" t="s">
        <v>568</v>
      </c>
      <c r="G244" s="2">
        <f t="shared" si="3"/>
        <v>50</v>
      </c>
      <c r="H244" s="2">
        <v>0</v>
      </c>
      <c r="I244" s="2">
        <v>50.0001</v>
      </c>
      <c r="J244" s="2" t="s">
        <v>14</v>
      </c>
      <c r="K244" s="2" t="s">
        <v>569</v>
      </c>
      <c r="L244" s="2">
        <v>63</v>
      </c>
      <c r="M244" t="e">
        <f>VLOOKUP(B244,[1]报销单!$D:$G,4,0)</f>
        <v>#N/A</v>
      </c>
    </row>
    <row r="245" ht="27" spans="1:13">
      <c r="A245" s="2">
        <v>64</v>
      </c>
      <c r="B245" s="2" t="s">
        <v>570</v>
      </c>
      <c r="C245" s="2" t="s">
        <v>566</v>
      </c>
      <c r="D245" s="2" t="s">
        <v>571</v>
      </c>
      <c r="E245" s="2">
        <v>716</v>
      </c>
      <c r="F245" s="2" t="s">
        <v>572</v>
      </c>
      <c r="G245" s="2">
        <f t="shared" si="3"/>
        <v>716</v>
      </c>
      <c r="H245" s="2">
        <v>0</v>
      </c>
      <c r="I245" s="2">
        <v>715.9975</v>
      </c>
      <c r="J245" s="2" t="s">
        <v>14</v>
      </c>
      <c r="K245" s="2" t="s">
        <v>573</v>
      </c>
      <c r="L245" s="2">
        <v>64</v>
      </c>
      <c r="M245" t="e">
        <f>VLOOKUP(B245,[1]报销单!$D:$G,4,0)</f>
        <v>#N/A</v>
      </c>
    </row>
    <row r="246" ht="27" spans="1:13">
      <c r="A246" s="2">
        <v>65</v>
      </c>
      <c r="B246" s="2" t="s">
        <v>574</v>
      </c>
      <c r="C246" s="2" t="s">
        <v>575</v>
      </c>
      <c r="D246" s="2" t="s">
        <v>576</v>
      </c>
      <c r="E246" s="2">
        <v>25</v>
      </c>
      <c r="F246" s="2" t="s">
        <v>577</v>
      </c>
      <c r="G246" s="2">
        <f t="shared" si="3"/>
        <v>25</v>
      </c>
      <c r="H246" s="2">
        <v>0</v>
      </c>
      <c r="I246" s="2">
        <v>25</v>
      </c>
      <c r="J246" s="2" t="s">
        <v>14</v>
      </c>
      <c r="K246" s="2" t="s">
        <v>578</v>
      </c>
      <c r="L246" s="2">
        <v>65</v>
      </c>
      <c r="M246" t="e">
        <f>VLOOKUP(B246,[1]报销单!$D:$G,4,0)</f>
        <v>#N/A</v>
      </c>
    </row>
    <row r="247" ht="27" spans="1:13">
      <c r="A247" s="2">
        <v>66</v>
      </c>
      <c r="B247" s="2" t="s">
        <v>579</v>
      </c>
      <c r="C247" s="2" t="s">
        <v>575</v>
      </c>
      <c r="D247" s="2" t="s">
        <v>580</v>
      </c>
      <c r="E247" s="2">
        <v>50</v>
      </c>
      <c r="F247" s="2" t="s">
        <v>581</v>
      </c>
      <c r="G247" s="2">
        <f t="shared" si="3"/>
        <v>50</v>
      </c>
      <c r="H247" s="2">
        <v>0</v>
      </c>
      <c r="I247" s="2">
        <v>50</v>
      </c>
      <c r="J247" s="2" t="s">
        <v>14</v>
      </c>
      <c r="K247" s="2" t="s">
        <v>582</v>
      </c>
      <c r="L247" s="2">
        <v>66</v>
      </c>
      <c r="M247" t="e">
        <f>VLOOKUP(B247,[1]报销单!$D:$G,4,0)</f>
        <v>#N/A</v>
      </c>
    </row>
    <row r="248" ht="27" spans="1:13">
      <c r="A248" s="2">
        <v>67</v>
      </c>
      <c r="B248" s="2" t="s">
        <v>583</v>
      </c>
      <c r="C248" s="2" t="s">
        <v>477</v>
      </c>
      <c r="D248" s="2" t="s">
        <v>388</v>
      </c>
      <c r="E248" s="2">
        <v>25.02</v>
      </c>
      <c r="F248" s="2" t="s">
        <v>584</v>
      </c>
      <c r="G248" s="2">
        <f t="shared" si="3"/>
        <v>25.05</v>
      </c>
      <c r="H248" s="2">
        <v>0.03</v>
      </c>
      <c r="I248" s="2">
        <v>24.99</v>
      </c>
      <c r="J248" s="2" t="s">
        <v>14</v>
      </c>
      <c r="K248" s="2" t="s">
        <v>479</v>
      </c>
      <c r="L248" s="2">
        <v>67</v>
      </c>
      <c r="M248" t="e">
        <f>VLOOKUP(B248,[1]报销单!$D:$G,4,0)</f>
        <v>#N/A</v>
      </c>
    </row>
    <row r="249" ht="27" spans="1:13">
      <c r="A249" s="2">
        <v>67</v>
      </c>
      <c r="B249" s="2" t="s">
        <v>585</v>
      </c>
      <c r="C249" s="2" t="s">
        <v>477</v>
      </c>
      <c r="D249" s="2" t="s">
        <v>388</v>
      </c>
      <c r="E249" s="2">
        <v>24.99</v>
      </c>
      <c r="F249" s="2" t="s">
        <v>586</v>
      </c>
      <c r="G249" s="2">
        <f t="shared" si="3"/>
        <v>24.99</v>
      </c>
      <c r="H249" s="2">
        <v>0</v>
      </c>
      <c r="I249" s="2">
        <v>24.99</v>
      </c>
      <c r="J249" s="2" t="s">
        <v>14</v>
      </c>
      <c r="K249" s="2" t="s">
        <v>479</v>
      </c>
      <c r="L249" s="2">
        <v>67</v>
      </c>
      <c r="M249" t="e">
        <f>VLOOKUP(B249,[1]报销单!$D:$G,4,0)</f>
        <v>#N/A</v>
      </c>
    </row>
    <row r="250" ht="27" spans="1:13">
      <c r="A250" s="2">
        <v>67</v>
      </c>
      <c r="B250" s="2" t="s">
        <v>587</v>
      </c>
      <c r="C250" s="2" t="s">
        <v>477</v>
      </c>
      <c r="D250" s="2" t="s">
        <v>388</v>
      </c>
      <c r="E250" s="2">
        <v>24.99</v>
      </c>
      <c r="F250" s="2" t="s">
        <v>588</v>
      </c>
      <c r="G250" s="2">
        <f t="shared" si="3"/>
        <v>24.99</v>
      </c>
      <c r="H250" s="2">
        <v>0</v>
      </c>
      <c r="I250" s="2">
        <v>24.99</v>
      </c>
      <c r="J250" s="2" t="s">
        <v>14</v>
      </c>
      <c r="K250" s="2" t="s">
        <v>479</v>
      </c>
      <c r="L250" s="2">
        <v>67</v>
      </c>
      <c r="M250" t="e">
        <f>VLOOKUP(B250,[1]报销单!$D:$G,4,0)</f>
        <v>#N/A</v>
      </c>
    </row>
    <row r="251" ht="27" spans="1:13">
      <c r="A251" s="2">
        <v>67</v>
      </c>
      <c r="B251" s="2" t="s">
        <v>589</v>
      </c>
      <c r="C251" s="2" t="s">
        <v>477</v>
      </c>
      <c r="D251" s="2" t="s">
        <v>590</v>
      </c>
      <c r="E251" s="2">
        <v>40</v>
      </c>
      <c r="F251" s="2" t="s">
        <v>591</v>
      </c>
      <c r="G251" s="2">
        <f t="shared" si="3"/>
        <v>40</v>
      </c>
      <c r="H251" s="2">
        <v>0</v>
      </c>
      <c r="I251" s="2">
        <v>40</v>
      </c>
      <c r="J251" s="2" t="s">
        <v>14</v>
      </c>
      <c r="K251" s="2" t="s">
        <v>592</v>
      </c>
      <c r="L251" s="2">
        <v>67</v>
      </c>
      <c r="M251" t="e">
        <f>VLOOKUP(B251,[1]报销单!$D:$G,4,0)</f>
        <v>#N/A</v>
      </c>
    </row>
    <row r="252" ht="27" spans="1:13">
      <c r="A252" s="2">
        <v>68</v>
      </c>
      <c r="B252" s="2" t="s">
        <v>593</v>
      </c>
      <c r="C252" s="2" t="s">
        <v>594</v>
      </c>
      <c r="D252" s="2" t="s">
        <v>595</v>
      </c>
      <c r="E252" s="2">
        <v>20</v>
      </c>
      <c r="F252" s="2" t="s">
        <v>596</v>
      </c>
      <c r="G252" s="2">
        <f t="shared" si="3"/>
        <v>20</v>
      </c>
      <c r="H252" s="2">
        <v>0</v>
      </c>
      <c r="I252" s="2">
        <v>20</v>
      </c>
      <c r="J252" s="2" t="s">
        <v>14</v>
      </c>
      <c r="K252" s="2" t="s">
        <v>597</v>
      </c>
      <c r="L252" s="2">
        <v>68</v>
      </c>
      <c r="M252" t="e">
        <f>VLOOKUP(B252,[1]报销单!$D:$G,4,0)</f>
        <v>#N/A</v>
      </c>
    </row>
    <row r="253" ht="27" spans="1:13">
      <c r="A253" s="2">
        <v>69</v>
      </c>
      <c r="B253" s="2" t="s">
        <v>598</v>
      </c>
      <c r="C253" s="2" t="s">
        <v>599</v>
      </c>
      <c r="D253" s="2" t="s">
        <v>388</v>
      </c>
      <c r="E253" s="2">
        <v>35</v>
      </c>
      <c r="F253" s="2" t="s">
        <v>600</v>
      </c>
      <c r="G253" s="2">
        <f t="shared" si="3"/>
        <v>35</v>
      </c>
      <c r="H253" s="2">
        <v>0</v>
      </c>
      <c r="I253" s="2">
        <v>35</v>
      </c>
      <c r="J253" s="2" t="s">
        <v>14</v>
      </c>
      <c r="K253" s="2" t="s">
        <v>601</v>
      </c>
      <c r="L253" s="2">
        <v>69</v>
      </c>
      <c r="M253" t="e">
        <f>VLOOKUP(B253,[1]报销单!$D:$G,4,0)</f>
        <v>#N/A</v>
      </c>
    </row>
    <row r="254" ht="27" spans="1:13">
      <c r="A254" s="2">
        <v>69</v>
      </c>
      <c r="B254" s="2" t="s">
        <v>602</v>
      </c>
      <c r="C254" s="2" t="s">
        <v>599</v>
      </c>
      <c r="D254" s="2" t="s">
        <v>388</v>
      </c>
      <c r="E254" s="2">
        <v>70</v>
      </c>
      <c r="F254" s="2" t="s">
        <v>603</v>
      </c>
      <c r="G254" s="2">
        <f t="shared" si="3"/>
        <v>70</v>
      </c>
      <c r="H254" s="2">
        <v>0</v>
      </c>
      <c r="I254" s="2">
        <v>70</v>
      </c>
      <c r="J254" s="2" t="s">
        <v>14</v>
      </c>
      <c r="K254" s="2" t="s">
        <v>601</v>
      </c>
      <c r="L254" s="2">
        <v>69</v>
      </c>
      <c r="M254" t="e">
        <f>VLOOKUP(B254,[1]报销单!$D:$G,4,0)</f>
        <v>#N/A</v>
      </c>
    </row>
    <row r="255" ht="27" spans="1:13">
      <c r="A255" s="2">
        <v>69</v>
      </c>
      <c r="B255" s="2" t="s">
        <v>604</v>
      </c>
      <c r="C255" s="2" t="s">
        <v>599</v>
      </c>
      <c r="D255" s="2" t="s">
        <v>388</v>
      </c>
      <c r="E255" s="2">
        <v>70</v>
      </c>
      <c r="F255" s="2" t="s">
        <v>605</v>
      </c>
      <c r="G255" s="2">
        <f t="shared" si="3"/>
        <v>70</v>
      </c>
      <c r="H255" s="2">
        <v>0</v>
      </c>
      <c r="I255" s="2">
        <v>70</v>
      </c>
      <c r="J255" s="2" t="s">
        <v>14</v>
      </c>
      <c r="K255" s="2" t="s">
        <v>601</v>
      </c>
      <c r="L255" s="2">
        <v>69</v>
      </c>
      <c r="M255" t="e">
        <f>VLOOKUP(B255,[1]报销单!$D:$G,4,0)</f>
        <v>#N/A</v>
      </c>
    </row>
    <row r="256" ht="27" spans="1:13">
      <c r="A256" s="2">
        <v>69</v>
      </c>
      <c r="B256" s="2" t="s">
        <v>606</v>
      </c>
      <c r="C256" s="2" t="s">
        <v>599</v>
      </c>
      <c r="D256" s="2" t="s">
        <v>388</v>
      </c>
      <c r="E256" s="2">
        <v>35</v>
      </c>
      <c r="F256" s="2" t="s">
        <v>607</v>
      </c>
      <c r="G256" s="2">
        <f t="shared" si="3"/>
        <v>35</v>
      </c>
      <c r="H256" s="2">
        <v>0</v>
      </c>
      <c r="I256" s="2">
        <v>35</v>
      </c>
      <c r="J256" s="2" t="s">
        <v>14</v>
      </c>
      <c r="K256" s="2" t="s">
        <v>601</v>
      </c>
      <c r="L256" s="2">
        <v>69</v>
      </c>
      <c r="M256" t="e">
        <f>VLOOKUP(B256,[1]报销单!$D:$G,4,0)</f>
        <v>#N/A</v>
      </c>
    </row>
    <row r="257" ht="27" spans="1:13">
      <c r="A257" s="2">
        <v>69</v>
      </c>
      <c r="B257" s="2" t="s">
        <v>608</v>
      </c>
      <c r="C257" s="2" t="s">
        <v>599</v>
      </c>
      <c r="D257" s="2" t="s">
        <v>388</v>
      </c>
      <c r="E257" s="2">
        <v>35</v>
      </c>
      <c r="F257" s="2" t="s">
        <v>609</v>
      </c>
      <c r="G257" s="2">
        <f t="shared" si="3"/>
        <v>35</v>
      </c>
      <c r="H257" s="2">
        <v>0</v>
      </c>
      <c r="I257" s="2">
        <v>35</v>
      </c>
      <c r="J257" s="2" t="s">
        <v>14</v>
      </c>
      <c r="K257" s="2" t="s">
        <v>601</v>
      </c>
      <c r="L257" s="2">
        <v>69</v>
      </c>
      <c r="M257" t="e">
        <f>VLOOKUP(B257,[1]报销单!$D:$G,4,0)</f>
        <v>#N/A</v>
      </c>
    </row>
    <row r="258" ht="27" spans="1:13">
      <c r="A258" s="2">
        <v>69</v>
      </c>
      <c r="B258" s="2" t="s">
        <v>610</v>
      </c>
      <c r="C258" s="2" t="s">
        <v>599</v>
      </c>
      <c r="D258" s="2" t="s">
        <v>388</v>
      </c>
      <c r="E258" s="2">
        <v>70</v>
      </c>
      <c r="F258" s="2" t="s">
        <v>611</v>
      </c>
      <c r="G258" s="2">
        <f t="shared" ref="G258:G320" si="4">E258+H258</f>
        <v>70</v>
      </c>
      <c r="H258" s="2">
        <v>0</v>
      </c>
      <c r="I258" s="2">
        <v>70</v>
      </c>
      <c r="J258" s="2" t="s">
        <v>14</v>
      </c>
      <c r="K258" s="2" t="s">
        <v>601</v>
      </c>
      <c r="L258" s="2">
        <v>69</v>
      </c>
      <c r="M258" t="e">
        <f>VLOOKUP(B258,[1]报销单!$D:$G,4,0)</f>
        <v>#N/A</v>
      </c>
    </row>
    <row r="259" ht="27" spans="1:13">
      <c r="A259" s="2">
        <v>69</v>
      </c>
      <c r="B259" s="2" t="s">
        <v>612</v>
      </c>
      <c r="C259" s="2" t="s">
        <v>599</v>
      </c>
      <c r="D259" s="2" t="s">
        <v>388</v>
      </c>
      <c r="E259" s="2">
        <v>35</v>
      </c>
      <c r="F259" s="2" t="s">
        <v>613</v>
      </c>
      <c r="G259" s="2">
        <f t="shared" si="4"/>
        <v>35</v>
      </c>
      <c r="H259" s="2">
        <v>0</v>
      </c>
      <c r="I259" s="2">
        <v>35</v>
      </c>
      <c r="J259" s="2" t="s">
        <v>14</v>
      </c>
      <c r="K259" s="2" t="s">
        <v>601</v>
      </c>
      <c r="L259" s="2">
        <v>69</v>
      </c>
      <c r="M259" t="e">
        <f>VLOOKUP(B259,[1]报销单!$D:$G,4,0)</f>
        <v>#N/A</v>
      </c>
    </row>
    <row r="260" ht="27" spans="1:13">
      <c r="A260" s="2">
        <v>69</v>
      </c>
      <c r="B260" s="2" t="s">
        <v>614</v>
      </c>
      <c r="C260" s="2" t="s">
        <v>599</v>
      </c>
      <c r="D260" s="2" t="s">
        <v>388</v>
      </c>
      <c r="E260" s="2">
        <v>70</v>
      </c>
      <c r="F260" s="2" t="s">
        <v>615</v>
      </c>
      <c r="G260" s="2">
        <f t="shared" si="4"/>
        <v>70</v>
      </c>
      <c r="H260" s="2">
        <v>0</v>
      </c>
      <c r="I260" s="2">
        <v>70</v>
      </c>
      <c r="J260" s="2" t="s">
        <v>14</v>
      </c>
      <c r="K260" s="2" t="s">
        <v>601</v>
      </c>
      <c r="L260" s="2">
        <v>69</v>
      </c>
      <c r="M260" t="e">
        <f>VLOOKUP(B260,[1]报销单!$D:$G,4,0)</f>
        <v>#N/A</v>
      </c>
    </row>
    <row r="261" ht="27" spans="1:13">
      <c r="A261" s="2">
        <v>69</v>
      </c>
      <c r="B261" s="2" t="s">
        <v>616</v>
      </c>
      <c r="C261" s="2" t="s">
        <v>599</v>
      </c>
      <c r="D261" s="2" t="s">
        <v>617</v>
      </c>
      <c r="E261" s="2">
        <v>35</v>
      </c>
      <c r="F261" s="2" t="s">
        <v>618</v>
      </c>
      <c r="G261" s="2">
        <f t="shared" si="4"/>
        <v>35</v>
      </c>
      <c r="H261" s="2">
        <v>0</v>
      </c>
      <c r="I261" s="2">
        <v>35</v>
      </c>
      <c r="J261" s="2" t="s">
        <v>14</v>
      </c>
      <c r="K261" s="2" t="s">
        <v>601</v>
      </c>
      <c r="L261" s="2">
        <v>69</v>
      </c>
      <c r="M261" t="e">
        <f>VLOOKUP(B261,[1]报销单!$D:$G,4,0)</f>
        <v>#N/A</v>
      </c>
    </row>
    <row r="262" ht="27" spans="1:13">
      <c r="A262" s="2">
        <v>70</v>
      </c>
      <c r="B262" s="2" t="s">
        <v>619</v>
      </c>
      <c r="C262" s="2" t="s">
        <v>599</v>
      </c>
      <c r="D262" s="2" t="s">
        <v>388</v>
      </c>
      <c r="E262" s="2">
        <v>70</v>
      </c>
      <c r="F262" s="2" t="s">
        <v>620</v>
      </c>
      <c r="G262" s="2">
        <f t="shared" si="4"/>
        <v>70</v>
      </c>
      <c r="H262" s="2">
        <v>0</v>
      </c>
      <c r="I262" s="2">
        <v>70</v>
      </c>
      <c r="J262" s="2" t="s">
        <v>14</v>
      </c>
      <c r="K262" s="2" t="s">
        <v>601</v>
      </c>
      <c r="L262" s="2">
        <v>70</v>
      </c>
      <c r="M262" t="e">
        <f>VLOOKUP(B262,[1]报销单!$D:$G,4,0)</f>
        <v>#N/A</v>
      </c>
    </row>
    <row r="263" ht="27" spans="1:13">
      <c r="A263" s="2">
        <v>70</v>
      </c>
      <c r="B263" s="2" t="s">
        <v>621</v>
      </c>
      <c r="C263" s="2" t="s">
        <v>599</v>
      </c>
      <c r="D263" s="2" t="s">
        <v>388</v>
      </c>
      <c r="E263" s="2">
        <v>35</v>
      </c>
      <c r="F263" s="2" t="s">
        <v>622</v>
      </c>
      <c r="G263" s="2">
        <f t="shared" si="4"/>
        <v>35</v>
      </c>
      <c r="H263" s="2">
        <v>0</v>
      </c>
      <c r="I263" s="2">
        <v>35</v>
      </c>
      <c r="J263" s="2" t="s">
        <v>14</v>
      </c>
      <c r="K263" s="2" t="s">
        <v>601</v>
      </c>
      <c r="L263" s="2">
        <v>70</v>
      </c>
      <c r="M263" t="e">
        <f>VLOOKUP(B263,[1]报销单!$D:$G,4,0)</f>
        <v>#N/A</v>
      </c>
    </row>
    <row r="264" ht="27" spans="1:13">
      <c r="A264" s="2">
        <v>70</v>
      </c>
      <c r="B264" s="2" t="s">
        <v>623</v>
      </c>
      <c r="C264" s="2" t="s">
        <v>599</v>
      </c>
      <c r="D264" s="2" t="s">
        <v>388</v>
      </c>
      <c r="E264" s="2">
        <v>70</v>
      </c>
      <c r="F264" s="2" t="s">
        <v>624</v>
      </c>
      <c r="G264" s="2">
        <f t="shared" si="4"/>
        <v>70</v>
      </c>
      <c r="H264" s="2">
        <v>0</v>
      </c>
      <c r="I264" s="2">
        <v>70</v>
      </c>
      <c r="J264" s="2" t="s">
        <v>14</v>
      </c>
      <c r="K264" s="2" t="s">
        <v>601</v>
      </c>
      <c r="L264" s="2">
        <v>70</v>
      </c>
      <c r="M264" t="e">
        <f>VLOOKUP(B264,[1]报销单!$D:$G,4,0)</f>
        <v>#N/A</v>
      </c>
    </row>
    <row r="265" ht="27" spans="1:13">
      <c r="A265" s="2">
        <v>70</v>
      </c>
      <c r="B265" s="2" t="s">
        <v>625</v>
      </c>
      <c r="C265" s="2" t="s">
        <v>599</v>
      </c>
      <c r="D265" s="2" t="s">
        <v>388</v>
      </c>
      <c r="E265" s="2">
        <v>35</v>
      </c>
      <c r="F265" s="2" t="s">
        <v>626</v>
      </c>
      <c r="G265" s="2">
        <f t="shared" si="4"/>
        <v>35</v>
      </c>
      <c r="H265" s="2">
        <v>0</v>
      </c>
      <c r="I265" s="2">
        <v>35</v>
      </c>
      <c r="J265" s="2" t="s">
        <v>14</v>
      </c>
      <c r="K265" s="2" t="s">
        <v>601</v>
      </c>
      <c r="L265" s="2">
        <v>70</v>
      </c>
      <c r="M265" t="e">
        <f>VLOOKUP(B265,[1]报销单!$D:$G,4,0)</f>
        <v>#N/A</v>
      </c>
    </row>
    <row r="266" ht="27" spans="1:13">
      <c r="A266" s="2">
        <v>70</v>
      </c>
      <c r="B266" s="2" t="s">
        <v>627</v>
      </c>
      <c r="C266" s="2" t="s">
        <v>599</v>
      </c>
      <c r="D266" s="2" t="s">
        <v>388</v>
      </c>
      <c r="E266" s="2">
        <v>70</v>
      </c>
      <c r="F266" s="2" t="s">
        <v>628</v>
      </c>
      <c r="G266" s="2">
        <f t="shared" si="4"/>
        <v>70</v>
      </c>
      <c r="H266" s="2">
        <v>0</v>
      </c>
      <c r="I266" s="2">
        <v>70</v>
      </c>
      <c r="J266" s="2" t="s">
        <v>14</v>
      </c>
      <c r="K266" s="2" t="s">
        <v>601</v>
      </c>
      <c r="L266" s="2">
        <v>70</v>
      </c>
      <c r="M266" t="e">
        <f>VLOOKUP(B266,[1]报销单!$D:$G,4,0)</f>
        <v>#N/A</v>
      </c>
    </row>
    <row r="267" ht="27" spans="1:13">
      <c r="A267" s="2">
        <v>70</v>
      </c>
      <c r="B267" s="2" t="s">
        <v>629</v>
      </c>
      <c r="C267" s="2" t="s">
        <v>599</v>
      </c>
      <c r="D267" s="2" t="s">
        <v>388</v>
      </c>
      <c r="E267" s="2">
        <v>70</v>
      </c>
      <c r="F267" s="2" t="s">
        <v>630</v>
      </c>
      <c r="G267" s="2">
        <f t="shared" si="4"/>
        <v>70</v>
      </c>
      <c r="H267" s="2">
        <v>0</v>
      </c>
      <c r="I267" s="2">
        <v>70</v>
      </c>
      <c r="J267" s="2" t="s">
        <v>14</v>
      </c>
      <c r="K267" s="2" t="s">
        <v>601</v>
      </c>
      <c r="L267" s="2">
        <v>70</v>
      </c>
      <c r="M267" t="e">
        <f>VLOOKUP(B267,[1]报销单!$D:$G,4,0)</f>
        <v>#N/A</v>
      </c>
    </row>
    <row r="268" ht="27" spans="1:13">
      <c r="A268" s="2">
        <v>70</v>
      </c>
      <c r="B268" s="2" t="s">
        <v>631</v>
      </c>
      <c r="C268" s="2" t="s">
        <v>599</v>
      </c>
      <c r="D268" s="2" t="s">
        <v>388</v>
      </c>
      <c r="E268" s="2">
        <v>35</v>
      </c>
      <c r="F268" s="2" t="s">
        <v>632</v>
      </c>
      <c r="G268" s="2">
        <f t="shared" si="4"/>
        <v>35</v>
      </c>
      <c r="H268" s="2">
        <v>0</v>
      </c>
      <c r="I268" s="2">
        <v>35</v>
      </c>
      <c r="J268" s="2" t="s">
        <v>14</v>
      </c>
      <c r="K268" s="2" t="s">
        <v>601</v>
      </c>
      <c r="L268" s="2">
        <v>70</v>
      </c>
      <c r="M268" t="e">
        <f>VLOOKUP(B268,[1]报销单!$D:$G,4,0)</f>
        <v>#N/A</v>
      </c>
    </row>
    <row r="269" ht="27" spans="1:13">
      <c r="A269" s="2">
        <v>70</v>
      </c>
      <c r="B269" s="2" t="s">
        <v>633</v>
      </c>
      <c r="C269" s="2" t="s">
        <v>599</v>
      </c>
      <c r="D269" s="2" t="s">
        <v>388</v>
      </c>
      <c r="E269" s="2">
        <v>35</v>
      </c>
      <c r="F269" s="2" t="s">
        <v>634</v>
      </c>
      <c r="G269" s="2">
        <f t="shared" si="4"/>
        <v>35</v>
      </c>
      <c r="H269" s="2">
        <v>0</v>
      </c>
      <c r="I269" s="2">
        <v>35</v>
      </c>
      <c r="J269" s="2" t="s">
        <v>14</v>
      </c>
      <c r="K269" s="2" t="s">
        <v>601</v>
      </c>
      <c r="L269" s="2">
        <v>70</v>
      </c>
      <c r="M269" t="e">
        <f>VLOOKUP(B269,[1]报销单!$D:$G,4,0)</f>
        <v>#N/A</v>
      </c>
    </row>
    <row r="270" ht="27" spans="1:13">
      <c r="A270" s="2">
        <v>70</v>
      </c>
      <c r="B270" s="2" t="s">
        <v>635</v>
      </c>
      <c r="C270" s="2" t="s">
        <v>599</v>
      </c>
      <c r="D270" s="2" t="s">
        <v>636</v>
      </c>
      <c r="E270" s="2">
        <v>70</v>
      </c>
      <c r="F270" s="2" t="s">
        <v>637</v>
      </c>
      <c r="G270" s="2">
        <f t="shared" si="4"/>
        <v>70</v>
      </c>
      <c r="H270" s="2">
        <v>0</v>
      </c>
      <c r="I270" s="2">
        <v>70</v>
      </c>
      <c r="J270" s="2" t="s">
        <v>14</v>
      </c>
      <c r="K270" s="2" t="s">
        <v>601</v>
      </c>
      <c r="L270" s="2">
        <v>70</v>
      </c>
      <c r="M270" t="e">
        <f>VLOOKUP(B270,[1]报销单!$D:$G,4,0)</f>
        <v>#N/A</v>
      </c>
    </row>
    <row r="271" ht="27" spans="1:13">
      <c r="A271" s="2">
        <v>71</v>
      </c>
      <c r="B271" s="2" t="s">
        <v>638</v>
      </c>
      <c r="C271" s="2" t="s">
        <v>639</v>
      </c>
      <c r="D271" s="2" t="s">
        <v>388</v>
      </c>
      <c r="E271" s="2">
        <v>60</v>
      </c>
      <c r="F271" s="2" t="s">
        <v>640</v>
      </c>
      <c r="G271" s="2">
        <f t="shared" si="4"/>
        <v>60</v>
      </c>
      <c r="H271" s="2">
        <v>0</v>
      </c>
      <c r="I271" s="2">
        <v>60</v>
      </c>
      <c r="J271" s="2" t="s">
        <v>14</v>
      </c>
      <c r="K271" s="2" t="s">
        <v>641</v>
      </c>
      <c r="L271" s="2">
        <v>71</v>
      </c>
      <c r="M271" t="e">
        <f>VLOOKUP(B271,[1]报销单!$D:$G,4,0)</f>
        <v>#N/A</v>
      </c>
    </row>
    <row r="272" ht="27" spans="1:13">
      <c r="A272" s="2">
        <v>71</v>
      </c>
      <c r="B272" s="2" t="s">
        <v>642</v>
      </c>
      <c r="C272" s="2" t="s">
        <v>639</v>
      </c>
      <c r="D272" s="2" t="s">
        <v>643</v>
      </c>
      <c r="E272" s="2">
        <v>102</v>
      </c>
      <c r="F272" s="2" t="s">
        <v>644</v>
      </c>
      <c r="G272" s="2">
        <f t="shared" si="4"/>
        <v>102</v>
      </c>
      <c r="H272" s="2">
        <v>0</v>
      </c>
      <c r="I272" s="2">
        <v>102</v>
      </c>
      <c r="J272" s="2" t="s">
        <v>14</v>
      </c>
      <c r="K272" s="2" t="s">
        <v>641</v>
      </c>
      <c r="L272" s="2">
        <v>71</v>
      </c>
      <c r="M272" t="e">
        <f>VLOOKUP(B272,[1]报销单!$D:$G,4,0)</f>
        <v>#N/A</v>
      </c>
    </row>
    <row r="273" ht="27" spans="1:13">
      <c r="A273" s="2">
        <v>72</v>
      </c>
      <c r="B273" s="2" t="s">
        <v>645</v>
      </c>
      <c r="C273" s="2" t="s">
        <v>639</v>
      </c>
      <c r="D273" s="2" t="s">
        <v>646</v>
      </c>
      <c r="E273" s="2">
        <v>45</v>
      </c>
      <c r="F273" s="2" t="s">
        <v>647</v>
      </c>
      <c r="G273" s="2">
        <f t="shared" si="4"/>
        <v>45</v>
      </c>
      <c r="H273" s="2">
        <v>0</v>
      </c>
      <c r="I273" s="2">
        <v>45</v>
      </c>
      <c r="J273" s="2" t="s">
        <v>14</v>
      </c>
      <c r="K273" s="2" t="s">
        <v>641</v>
      </c>
      <c r="L273" s="2">
        <v>72</v>
      </c>
      <c r="M273" t="e">
        <f>VLOOKUP(B273,[1]报销单!$D:$G,4,0)</f>
        <v>#N/A</v>
      </c>
    </row>
    <row r="274" ht="27" spans="1:13">
      <c r="A274" s="2">
        <v>73</v>
      </c>
      <c r="B274" s="2" t="s">
        <v>648</v>
      </c>
      <c r="C274" s="2" t="s">
        <v>649</v>
      </c>
      <c r="D274" s="2" t="s">
        <v>650</v>
      </c>
      <c r="E274" s="2">
        <v>5</v>
      </c>
      <c r="F274" s="2" t="s">
        <v>651</v>
      </c>
      <c r="G274" s="2">
        <f t="shared" si="4"/>
        <v>5</v>
      </c>
      <c r="H274" s="2">
        <v>0</v>
      </c>
      <c r="I274" s="2">
        <v>5</v>
      </c>
      <c r="J274" s="2" t="s">
        <v>14</v>
      </c>
      <c r="K274" s="2" t="s">
        <v>652</v>
      </c>
      <c r="L274" s="2">
        <v>73</v>
      </c>
      <c r="M274" t="e">
        <f>VLOOKUP(B274,[1]报销单!$D:$G,4,0)</f>
        <v>#N/A</v>
      </c>
    </row>
    <row r="275" ht="27" spans="1:13">
      <c r="A275" s="2">
        <v>74</v>
      </c>
      <c r="B275" s="2" t="s">
        <v>653</v>
      </c>
      <c r="C275" s="2" t="s">
        <v>649</v>
      </c>
      <c r="D275" s="2" t="s">
        <v>654</v>
      </c>
      <c r="E275" s="2">
        <v>10</v>
      </c>
      <c r="F275" s="2" t="s">
        <v>655</v>
      </c>
      <c r="G275" s="2">
        <f t="shared" si="4"/>
        <v>10</v>
      </c>
      <c r="H275" s="2">
        <v>0</v>
      </c>
      <c r="I275" s="2">
        <v>10</v>
      </c>
      <c r="J275" s="2" t="s">
        <v>14</v>
      </c>
      <c r="K275" s="2" t="s">
        <v>652</v>
      </c>
      <c r="L275" s="2">
        <v>74</v>
      </c>
      <c r="M275" t="e">
        <f>VLOOKUP(B275,[1]报销单!$D:$G,4,0)</f>
        <v>#N/A</v>
      </c>
    </row>
    <row r="276" ht="27" spans="1:13">
      <c r="A276" s="2">
        <v>75</v>
      </c>
      <c r="B276" s="2" t="s">
        <v>656</v>
      </c>
      <c r="C276" s="2" t="s">
        <v>657</v>
      </c>
      <c r="D276" s="2" t="s">
        <v>658</v>
      </c>
      <c r="E276" s="2">
        <v>150</v>
      </c>
      <c r="F276" s="2" t="s">
        <v>659</v>
      </c>
      <c r="G276" s="2">
        <f t="shared" si="4"/>
        <v>150</v>
      </c>
      <c r="H276" s="2">
        <v>0</v>
      </c>
      <c r="I276" s="2">
        <v>150</v>
      </c>
      <c r="J276" s="2" t="s">
        <v>14</v>
      </c>
      <c r="K276" s="2" t="s">
        <v>660</v>
      </c>
      <c r="L276" s="2">
        <v>75</v>
      </c>
      <c r="M276" t="e">
        <f>VLOOKUP(B276,[1]报销单!$D:$G,4,0)</f>
        <v>#N/A</v>
      </c>
    </row>
    <row r="277" ht="27" spans="1:13">
      <c r="A277" s="2">
        <v>76</v>
      </c>
      <c r="B277" s="2" t="s">
        <v>661</v>
      </c>
      <c r="C277" s="2" t="s">
        <v>662</v>
      </c>
      <c r="D277" s="2" t="s">
        <v>663</v>
      </c>
      <c r="E277" s="2">
        <v>12</v>
      </c>
      <c r="F277" s="2" t="s">
        <v>664</v>
      </c>
      <c r="G277" s="2">
        <f t="shared" si="4"/>
        <v>12</v>
      </c>
      <c r="H277" s="2">
        <v>0</v>
      </c>
      <c r="I277" s="2">
        <v>12</v>
      </c>
      <c r="J277" s="2" t="s">
        <v>14</v>
      </c>
      <c r="K277" s="2" t="s">
        <v>665</v>
      </c>
      <c r="L277" s="2">
        <v>76</v>
      </c>
      <c r="M277" t="e">
        <f>VLOOKUP(B277,[1]报销单!$D:$G,4,0)</f>
        <v>#N/A</v>
      </c>
    </row>
    <row r="278" ht="40.5" spans="1:13">
      <c r="A278" s="2">
        <v>77</v>
      </c>
      <c r="B278" s="2" t="s">
        <v>666</v>
      </c>
      <c r="C278" s="2" t="s">
        <v>439</v>
      </c>
      <c r="D278" s="2" t="s">
        <v>667</v>
      </c>
      <c r="E278" s="2">
        <v>3</v>
      </c>
      <c r="F278" s="2" t="s">
        <v>668</v>
      </c>
      <c r="G278" s="2">
        <f t="shared" si="4"/>
        <v>3</v>
      </c>
      <c r="H278" s="2">
        <v>0</v>
      </c>
      <c r="I278" s="2">
        <v>3</v>
      </c>
      <c r="J278" s="2" t="s">
        <v>14</v>
      </c>
      <c r="K278" s="2" t="s">
        <v>669</v>
      </c>
      <c r="L278" s="2">
        <v>77</v>
      </c>
      <c r="M278" t="e">
        <f>VLOOKUP(B278,[1]报销单!$D:$G,4,0)</f>
        <v>#N/A</v>
      </c>
    </row>
    <row r="279" ht="40.5" spans="1:13">
      <c r="A279" s="2">
        <v>78</v>
      </c>
      <c r="B279" s="2" t="s">
        <v>670</v>
      </c>
      <c r="C279" s="2" t="s">
        <v>458</v>
      </c>
      <c r="D279" s="2" t="s">
        <v>671</v>
      </c>
      <c r="E279" s="2">
        <v>4</v>
      </c>
      <c r="F279" s="2" t="s">
        <v>672</v>
      </c>
      <c r="G279" s="2">
        <f t="shared" si="4"/>
        <v>4</v>
      </c>
      <c r="H279" s="2">
        <v>0</v>
      </c>
      <c r="I279" s="2">
        <v>4</v>
      </c>
      <c r="J279" s="2" t="s">
        <v>14</v>
      </c>
      <c r="K279" s="2" t="s">
        <v>673</v>
      </c>
      <c r="L279" s="2">
        <v>78</v>
      </c>
      <c r="M279" t="e">
        <f>VLOOKUP(B279,[1]报销单!$D:$G,4,0)</f>
        <v>#N/A</v>
      </c>
    </row>
    <row r="280" ht="27" spans="1:13">
      <c r="A280" s="2">
        <v>79</v>
      </c>
      <c r="B280" s="2" t="s">
        <v>674</v>
      </c>
      <c r="C280" s="2" t="s">
        <v>544</v>
      </c>
      <c r="D280" s="2" t="s">
        <v>388</v>
      </c>
      <c r="E280" s="2">
        <v>29.93</v>
      </c>
      <c r="F280" s="2" t="s">
        <v>675</v>
      </c>
      <c r="G280" s="2">
        <f t="shared" si="4"/>
        <v>29.93</v>
      </c>
      <c r="H280" s="2">
        <v>0</v>
      </c>
      <c r="I280" s="2">
        <v>29.928</v>
      </c>
      <c r="J280" s="2" t="s">
        <v>14</v>
      </c>
      <c r="K280" s="2" t="s">
        <v>546</v>
      </c>
      <c r="L280" s="2">
        <v>79</v>
      </c>
      <c r="M280" t="e">
        <f>VLOOKUP(B280,[1]报销单!$D:$G,4,0)</f>
        <v>#N/A</v>
      </c>
    </row>
    <row r="281" ht="27" spans="1:13">
      <c r="A281" s="2">
        <v>79</v>
      </c>
      <c r="B281" s="2" t="s">
        <v>676</v>
      </c>
      <c r="C281" s="2" t="s">
        <v>544</v>
      </c>
      <c r="D281" s="2" t="s">
        <v>388</v>
      </c>
      <c r="E281" s="2">
        <v>18.96</v>
      </c>
      <c r="F281" s="2" t="s">
        <v>677</v>
      </c>
      <c r="G281" s="2">
        <f t="shared" si="4"/>
        <v>18.96</v>
      </c>
      <c r="H281" s="2">
        <v>0</v>
      </c>
      <c r="I281" s="2">
        <v>18.9551</v>
      </c>
      <c r="J281" s="2" t="s">
        <v>14</v>
      </c>
      <c r="K281" s="2" t="s">
        <v>678</v>
      </c>
      <c r="L281" s="2">
        <v>79</v>
      </c>
      <c r="M281" t="e">
        <f>VLOOKUP(B281,[1]报销单!$D:$G,4,0)</f>
        <v>#N/A</v>
      </c>
    </row>
    <row r="282" ht="27" spans="1:13">
      <c r="A282" s="2">
        <v>79</v>
      </c>
      <c r="B282" s="2" t="s">
        <v>679</v>
      </c>
      <c r="C282" s="2" t="s">
        <v>544</v>
      </c>
      <c r="D282" s="2" t="s">
        <v>388</v>
      </c>
      <c r="E282" s="2">
        <v>18.96</v>
      </c>
      <c r="F282" s="2" t="s">
        <v>680</v>
      </c>
      <c r="G282" s="2">
        <f t="shared" si="4"/>
        <v>18.96</v>
      </c>
      <c r="H282" s="2">
        <v>0</v>
      </c>
      <c r="I282" s="2">
        <v>18.9551</v>
      </c>
      <c r="J282" s="2" t="s">
        <v>14</v>
      </c>
      <c r="K282" s="2" t="s">
        <v>678</v>
      </c>
      <c r="L282" s="2">
        <v>79</v>
      </c>
      <c r="M282" t="e">
        <f>VLOOKUP(B282,[1]报销单!$D:$G,4,0)</f>
        <v>#N/A</v>
      </c>
    </row>
    <row r="283" ht="27" spans="1:13">
      <c r="A283" s="2">
        <v>79</v>
      </c>
      <c r="B283" s="2" t="s">
        <v>681</v>
      </c>
      <c r="C283" s="2" t="s">
        <v>544</v>
      </c>
      <c r="D283" s="2" t="s">
        <v>388</v>
      </c>
      <c r="E283" s="2">
        <v>18.96</v>
      </c>
      <c r="F283" s="2" t="s">
        <v>682</v>
      </c>
      <c r="G283" s="2">
        <f t="shared" si="4"/>
        <v>18.96</v>
      </c>
      <c r="H283" s="2">
        <v>0</v>
      </c>
      <c r="I283" s="2">
        <v>18.9551</v>
      </c>
      <c r="J283" s="2" t="s">
        <v>14</v>
      </c>
      <c r="K283" s="2" t="s">
        <v>678</v>
      </c>
      <c r="L283" s="2">
        <v>79</v>
      </c>
      <c r="M283" t="e">
        <f>VLOOKUP(B283,[1]报销单!$D:$G,4,0)</f>
        <v>#N/A</v>
      </c>
    </row>
    <row r="284" ht="27" spans="1:13">
      <c r="A284" s="2">
        <v>79</v>
      </c>
      <c r="B284" s="2" t="s">
        <v>683</v>
      </c>
      <c r="C284" s="2" t="s">
        <v>544</v>
      </c>
      <c r="D284" s="2" t="s">
        <v>388</v>
      </c>
      <c r="E284" s="2">
        <v>18.96</v>
      </c>
      <c r="F284" s="2" t="s">
        <v>684</v>
      </c>
      <c r="G284" s="2">
        <f t="shared" si="4"/>
        <v>18.96</v>
      </c>
      <c r="H284" s="2">
        <v>0</v>
      </c>
      <c r="I284" s="2">
        <v>18.9551</v>
      </c>
      <c r="J284" s="2" t="s">
        <v>14</v>
      </c>
      <c r="K284" s="2" t="s">
        <v>678</v>
      </c>
      <c r="L284" s="2">
        <v>79</v>
      </c>
      <c r="M284" t="e">
        <f>VLOOKUP(B284,[1]报销单!$D:$G,4,0)</f>
        <v>#N/A</v>
      </c>
    </row>
    <row r="285" ht="27" spans="1:13">
      <c r="A285" s="2">
        <v>79</v>
      </c>
      <c r="B285" s="2" t="s">
        <v>685</v>
      </c>
      <c r="C285" s="2" t="s">
        <v>544</v>
      </c>
      <c r="D285" s="2" t="s">
        <v>388</v>
      </c>
      <c r="E285" s="2">
        <v>18.96</v>
      </c>
      <c r="F285" s="2" t="s">
        <v>686</v>
      </c>
      <c r="G285" s="2">
        <f t="shared" si="4"/>
        <v>18.96</v>
      </c>
      <c r="H285" s="2">
        <v>0</v>
      </c>
      <c r="I285" s="2">
        <v>18.955</v>
      </c>
      <c r="J285" s="2" t="s">
        <v>14</v>
      </c>
      <c r="K285" s="2" t="s">
        <v>678</v>
      </c>
      <c r="L285" s="2">
        <v>79</v>
      </c>
      <c r="M285" t="e">
        <f>VLOOKUP(B285,[1]报销单!$D:$G,4,0)</f>
        <v>#N/A</v>
      </c>
    </row>
    <row r="286" ht="27" spans="1:13">
      <c r="A286" s="2">
        <v>79</v>
      </c>
      <c r="B286" s="2" t="s">
        <v>687</v>
      </c>
      <c r="C286" s="2" t="s">
        <v>544</v>
      </c>
      <c r="D286" s="2" t="s">
        <v>388</v>
      </c>
      <c r="E286" s="2">
        <v>22.45</v>
      </c>
      <c r="F286" s="2" t="s">
        <v>688</v>
      </c>
      <c r="G286" s="2">
        <f t="shared" si="4"/>
        <v>22.45</v>
      </c>
      <c r="H286" s="2">
        <v>0</v>
      </c>
      <c r="I286" s="2">
        <v>22.446</v>
      </c>
      <c r="J286" s="2" t="s">
        <v>14</v>
      </c>
      <c r="K286" s="2" t="s">
        <v>546</v>
      </c>
      <c r="L286" s="2">
        <v>79</v>
      </c>
      <c r="M286" t="e">
        <f>VLOOKUP(B286,[1]报销单!$D:$G,4,0)</f>
        <v>#N/A</v>
      </c>
    </row>
    <row r="287" ht="27" spans="1:13">
      <c r="A287" s="2">
        <v>79</v>
      </c>
      <c r="B287" s="2" t="s">
        <v>689</v>
      </c>
      <c r="C287" s="2" t="s">
        <v>544</v>
      </c>
      <c r="D287" s="2" t="s">
        <v>388</v>
      </c>
      <c r="E287" s="2">
        <v>40.41</v>
      </c>
      <c r="F287" s="2" t="s">
        <v>690</v>
      </c>
      <c r="G287" s="2">
        <f t="shared" si="4"/>
        <v>40.41</v>
      </c>
      <c r="H287" s="2">
        <v>0</v>
      </c>
      <c r="I287" s="2">
        <v>40.4108</v>
      </c>
      <c r="J287" s="2" t="s">
        <v>14</v>
      </c>
      <c r="K287" s="2" t="s">
        <v>546</v>
      </c>
      <c r="L287" s="2">
        <v>79</v>
      </c>
      <c r="M287" t="e">
        <f>VLOOKUP(B287,[1]报销单!$D:$G,4,0)</f>
        <v>#N/A</v>
      </c>
    </row>
    <row r="288" ht="27" spans="1:13">
      <c r="A288" s="2">
        <v>79</v>
      </c>
      <c r="B288" s="2" t="s">
        <v>691</v>
      </c>
      <c r="C288" s="2" t="s">
        <v>544</v>
      </c>
      <c r="D288" s="2" t="s">
        <v>388</v>
      </c>
      <c r="E288" s="2">
        <v>20.21</v>
      </c>
      <c r="F288" s="2" t="s">
        <v>692</v>
      </c>
      <c r="G288" s="2">
        <f t="shared" si="4"/>
        <v>20.21</v>
      </c>
      <c r="H288" s="2">
        <v>0</v>
      </c>
      <c r="I288" s="2">
        <v>20.2054</v>
      </c>
      <c r="J288" s="2" t="s">
        <v>14</v>
      </c>
      <c r="K288" s="2" t="s">
        <v>546</v>
      </c>
      <c r="L288" s="2">
        <v>79</v>
      </c>
      <c r="M288" t="e">
        <f>VLOOKUP(B288,[1]报销单!$D:$G,4,0)</f>
        <v>#N/A</v>
      </c>
    </row>
    <row r="289" ht="27" spans="1:13">
      <c r="A289" s="2">
        <v>79</v>
      </c>
      <c r="B289" s="2" t="s">
        <v>693</v>
      </c>
      <c r="C289" s="2" t="s">
        <v>544</v>
      </c>
      <c r="D289" s="2" t="s">
        <v>388</v>
      </c>
      <c r="E289" s="2">
        <v>39.06</v>
      </c>
      <c r="F289" s="2" t="s">
        <v>694</v>
      </c>
      <c r="G289" s="2">
        <f t="shared" si="4"/>
        <v>39.06</v>
      </c>
      <c r="H289" s="2">
        <v>0</v>
      </c>
      <c r="I289" s="2">
        <v>39.0638</v>
      </c>
      <c r="J289" s="2" t="s">
        <v>14</v>
      </c>
      <c r="K289" s="2" t="s">
        <v>546</v>
      </c>
      <c r="L289" s="2">
        <v>79</v>
      </c>
      <c r="M289" t="e">
        <f>VLOOKUP(B289,[1]报销单!$D:$G,4,0)</f>
        <v>#N/A</v>
      </c>
    </row>
    <row r="290" ht="27" spans="1:13">
      <c r="A290" s="2">
        <v>79</v>
      </c>
      <c r="B290" s="2" t="s">
        <v>695</v>
      </c>
      <c r="C290" s="2" t="s">
        <v>544</v>
      </c>
      <c r="D290" s="2" t="s">
        <v>388</v>
      </c>
      <c r="E290" s="2">
        <v>33.67</v>
      </c>
      <c r="F290" s="2" t="s">
        <v>696</v>
      </c>
      <c r="G290" s="2">
        <f t="shared" si="4"/>
        <v>33.67</v>
      </c>
      <c r="H290" s="2">
        <v>0</v>
      </c>
      <c r="I290" s="2">
        <v>33.669</v>
      </c>
      <c r="J290" s="2" t="s">
        <v>14</v>
      </c>
      <c r="K290" s="2" t="s">
        <v>546</v>
      </c>
      <c r="L290" s="2">
        <v>79</v>
      </c>
      <c r="M290" t="e">
        <f>VLOOKUP(B290,[1]报销单!$D:$G,4,0)</f>
        <v>#N/A</v>
      </c>
    </row>
    <row r="291" ht="27" spans="1:13">
      <c r="A291" s="2">
        <v>79</v>
      </c>
      <c r="B291" s="2" t="s">
        <v>697</v>
      </c>
      <c r="C291" s="2" t="s">
        <v>544</v>
      </c>
      <c r="D291" s="2" t="s">
        <v>388</v>
      </c>
      <c r="E291" s="2">
        <v>18.71</v>
      </c>
      <c r="F291" s="2" t="s">
        <v>698</v>
      </c>
      <c r="G291" s="2">
        <f t="shared" si="4"/>
        <v>18.71</v>
      </c>
      <c r="H291" s="2">
        <v>0</v>
      </c>
      <c r="I291" s="2">
        <v>18.705</v>
      </c>
      <c r="J291" s="2" t="s">
        <v>14</v>
      </c>
      <c r="K291" s="2" t="s">
        <v>546</v>
      </c>
      <c r="L291" s="2">
        <v>79</v>
      </c>
      <c r="M291" t="e">
        <f>VLOOKUP(B291,[1]报销单!$D:$G,4,0)</f>
        <v>#N/A</v>
      </c>
    </row>
    <row r="292" ht="27" spans="1:13">
      <c r="A292" s="2">
        <v>79</v>
      </c>
      <c r="B292" s="2" t="s">
        <v>699</v>
      </c>
      <c r="C292" s="2" t="s">
        <v>544</v>
      </c>
      <c r="D292" s="2" t="s">
        <v>388</v>
      </c>
      <c r="E292" s="2">
        <v>33.67</v>
      </c>
      <c r="F292" s="2" t="s">
        <v>700</v>
      </c>
      <c r="G292" s="2">
        <f t="shared" si="4"/>
        <v>33.67</v>
      </c>
      <c r="H292" s="2">
        <v>0</v>
      </c>
      <c r="I292" s="2">
        <v>33.669</v>
      </c>
      <c r="J292" s="2" t="s">
        <v>14</v>
      </c>
      <c r="K292" s="2" t="s">
        <v>546</v>
      </c>
      <c r="L292" s="2">
        <v>79</v>
      </c>
      <c r="M292" t="e">
        <f>VLOOKUP(B292,[1]报销单!$D:$G,4,0)</f>
        <v>#N/A</v>
      </c>
    </row>
    <row r="293" ht="27" spans="1:13">
      <c r="A293" s="2">
        <v>79</v>
      </c>
      <c r="B293" s="2" t="s">
        <v>701</v>
      </c>
      <c r="C293" s="2" t="s">
        <v>544</v>
      </c>
      <c r="D293" s="2" t="s">
        <v>388</v>
      </c>
      <c r="E293" s="2">
        <v>39.06</v>
      </c>
      <c r="F293" s="2" t="s">
        <v>702</v>
      </c>
      <c r="G293" s="2">
        <f t="shared" si="4"/>
        <v>39.06</v>
      </c>
      <c r="H293" s="2">
        <v>0</v>
      </c>
      <c r="I293" s="2">
        <v>39.0638</v>
      </c>
      <c r="J293" s="2" t="s">
        <v>14</v>
      </c>
      <c r="K293" s="2" t="s">
        <v>546</v>
      </c>
      <c r="L293" s="2">
        <v>79</v>
      </c>
      <c r="M293" t="e">
        <f>VLOOKUP(B293,[1]报销单!$D:$G,4,0)</f>
        <v>#N/A</v>
      </c>
    </row>
    <row r="294" ht="27" spans="1:13">
      <c r="A294" s="2">
        <v>79</v>
      </c>
      <c r="B294" s="2" t="s">
        <v>703</v>
      </c>
      <c r="C294" s="2" t="s">
        <v>544</v>
      </c>
      <c r="D294" s="2" t="s">
        <v>704</v>
      </c>
      <c r="E294" s="2">
        <v>39.06</v>
      </c>
      <c r="F294" s="2" t="s">
        <v>705</v>
      </c>
      <c r="G294" s="2">
        <f t="shared" si="4"/>
        <v>39.06</v>
      </c>
      <c r="H294" s="2">
        <v>0</v>
      </c>
      <c r="I294" s="2">
        <v>39.0638</v>
      </c>
      <c r="J294" s="2" t="s">
        <v>14</v>
      </c>
      <c r="K294" s="2" t="s">
        <v>546</v>
      </c>
      <c r="L294" s="2">
        <v>79</v>
      </c>
      <c r="M294" t="e">
        <f>VLOOKUP(B294,[1]报销单!$D:$G,4,0)</f>
        <v>#N/A</v>
      </c>
    </row>
    <row r="295" ht="27" spans="1:13">
      <c r="A295" s="2">
        <v>80</v>
      </c>
      <c r="B295" s="2" t="s">
        <v>706</v>
      </c>
      <c r="C295" s="2" t="s">
        <v>544</v>
      </c>
      <c r="D295" s="2" t="s">
        <v>388</v>
      </c>
      <c r="E295" s="2">
        <v>18.71</v>
      </c>
      <c r="F295" s="2" t="s">
        <v>707</v>
      </c>
      <c r="G295" s="2">
        <f t="shared" si="4"/>
        <v>18.71</v>
      </c>
      <c r="H295" s="2">
        <v>0</v>
      </c>
      <c r="I295" s="2">
        <v>18.7076</v>
      </c>
      <c r="J295" s="2" t="s">
        <v>14</v>
      </c>
      <c r="K295" s="2" t="s">
        <v>546</v>
      </c>
      <c r="L295" s="2">
        <v>80</v>
      </c>
      <c r="M295" t="e">
        <f>VLOOKUP(B295,[1]报销单!$D:$G,4,0)</f>
        <v>#N/A</v>
      </c>
    </row>
    <row r="296" ht="27" spans="1:13">
      <c r="A296" s="2">
        <v>80</v>
      </c>
      <c r="B296" s="2" t="s">
        <v>708</v>
      </c>
      <c r="C296" s="2" t="s">
        <v>544</v>
      </c>
      <c r="D296" s="2" t="s">
        <v>388</v>
      </c>
      <c r="E296" s="2">
        <v>18.71</v>
      </c>
      <c r="F296" s="2" t="s">
        <v>709</v>
      </c>
      <c r="G296" s="2">
        <f t="shared" si="4"/>
        <v>18.71</v>
      </c>
      <c r="H296" s="2">
        <v>0</v>
      </c>
      <c r="I296" s="2">
        <v>18.7076</v>
      </c>
      <c r="J296" s="2" t="s">
        <v>14</v>
      </c>
      <c r="K296" s="2" t="s">
        <v>546</v>
      </c>
      <c r="L296" s="2">
        <v>80</v>
      </c>
      <c r="M296" t="e">
        <f>VLOOKUP(B296,[1]报销单!$D:$G,4,0)</f>
        <v>#N/A</v>
      </c>
    </row>
    <row r="297" ht="27" spans="1:13">
      <c r="A297" s="2">
        <v>80</v>
      </c>
      <c r="B297" s="2" t="s">
        <v>710</v>
      </c>
      <c r="C297" s="2" t="s">
        <v>544</v>
      </c>
      <c r="D297" s="2" t="s">
        <v>388</v>
      </c>
      <c r="E297" s="2">
        <v>22.41</v>
      </c>
      <c r="F297" s="2" t="s">
        <v>711</v>
      </c>
      <c r="G297" s="2">
        <f t="shared" si="4"/>
        <v>22.41</v>
      </c>
      <c r="H297" s="2">
        <v>0</v>
      </c>
      <c r="I297" s="2">
        <v>22.4091</v>
      </c>
      <c r="J297" s="2" t="s">
        <v>14</v>
      </c>
      <c r="K297" s="2" t="s">
        <v>546</v>
      </c>
      <c r="L297" s="2">
        <v>80</v>
      </c>
      <c r="M297" t="e">
        <f>VLOOKUP(B297,[1]报销单!$D:$G,4,0)</f>
        <v>#N/A</v>
      </c>
    </row>
    <row r="298" ht="27" spans="1:13">
      <c r="A298" s="2">
        <v>80</v>
      </c>
      <c r="B298" s="2" t="s">
        <v>712</v>
      </c>
      <c r="C298" s="2" t="s">
        <v>544</v>
      </c>
      <c r="D298" s="2" t="s">
        <v>388</v>
      </c>
      <c r="E298" s="2">
        <v>18.21</v>
      </c>
      <c r="F298" s="2" t="s">
        <v>713</v>
      </c>
      <c r="G298" s="2">
        <f t="shared" si="4"/>
        <v>18.21</v>
      </c>
      <c r="H298" s="2">
        <v>0</v>
      </c>
      <c r="I298" s="2">
        <v>18.2074</v>
      </c>
      <c r="J298" s="2" t="s">
        <v>14</v>
      </c>
      <c r="K298" s="2" t="s">
        <v>546</v>
      </c>
      <c r="L298" s="2">
        <v>80</v>
      </c>
      <c r="M298" t="e">
        <f>VLOOKUP(B298,[1]报销单!$D:$G,4,0)</f>
        <v>#N/A</v>
      </c>
    </row>
    <row r="299" ht="27" spans="1:13">
      <c r="A299" s="2">
        <v>80</v>
      </c>
      <c r="B299" s="2" t="s">
        <v>714</v>
      </c>
      <c r="C299" s="2" t="s">
        <v>544</v>
      </c>
      <c r="D299" s="2" t="s">
        <v>388</v>
      </c>
      <c r="E299" s="2">
        <v>18.21</v>
      </c>
      <c r="F299" s="2" t="s">
        <v>715</v>
      </c>
      <c r="G299" s="2">
        <f t="shared" si="4"/>
        <v>18.21</v>
      </c>
      <c r="H299" s="2">
        <v>0</v>
      </c>
      <c r="I299" s="2">
        <v>18.2074</v>
      </c>
      <c r="J299" s="2" t="s">
        <v>14</v>
      </c>
      <c r="K299" s="2" t="s">
        <v>546</v>
      </c>
      <c r="L299" s="2">
        <v>80</v>
      </c>
      <c r="M299" t="e">
        <f>VLOOKUP(B299,[1]报销单!$D:$G,4,0)</f>
        <v>#N/A</v>
      </c>
    </row>
    <row r="300" ht="27" spans="1:13">
      <c r="A300" s="2">
        <v>80</v>
      </c>
      <c r="B300" s="2" t="s">
        <v>716</v>
      </c>
      <c r="C300" s="2" t="s">
        <v>544</v>
      </c>
      <c r="D300" s="2" t="s">
        <v>388</v>
      </c>
      <c r="E300" s="2">
        <v>40.42</v>
      </c>
      <c r="F300" s="2" t="s">
        <v>717</v>
      </c>
      <c r="G300" s="2">
        <f t="shared" si="4"/>
        <v>40.42</v>
      </c>
      <c r="H300" s="2">
        <v>0</v>
      </c>
      <c r="I300" s="2">
        <v>40.4164</v>
      </c>
      <c r="J300" s="2" t="s">
        <v>14</v>
      </c>
      <c r="K300" s="2" t="s">
        <v>546</v>
      </c>
      <c r="L300" s="2">
        <v>80</v>
      </c>
      <c r="M300" t="e">
        <f>VLOOKUP(B300,[1]报销单!$D:$G,4,0)</f>
        <v>#N/A</v>
      </c>
    </row>
    <row r="301" ht="27" spans="1:13">
      <c r="A301" s="2">
        <v>80</v>
      </c>
      <c r="B301" s="2" t="s">
        <v>718</v>
      </c>
      <c r="C301" s="2" t="s">
        <v>544</v>
      </c>
      <c r="D301" s="2" t="s">
        <v>388</v>
      </c>
      <c r="E301" s="2">
        <v>20.61</v>
      </c>
      <c r="F301" s="2" t="s">
        <v>719</v>
      </c>
      <c r="G301" s="2">
        <f t="shared" si="4"/>
        <v>20.61</v>
      </c>
      <c r="H301" s="2">
        <v>0</v>
      </c>
      <c r="I301" s="2">
        <v>20.6083</v>
      </c>
      <c r="J301" s="2" t="s">
        <v>14</v>
      </c>
      <c r="K301" s="2" t="s">
        <v>546</v>
      </c>
      <c r="L301" s="2">
        <v>80</v>
      </c>
      <c r="M301" t="e">
        <f>VLOOKUP(B301,[1]报销单!$D:$G,4,0)</f>
        <v>#N/A</v>
      </c>
    </row>
    <row r="302" ht="27" spans="1:13">
      <c r="A302" s="2">
        <v>80</v>
      </c>
      <c r="B302" s="2" t="s">
        <v>720</v>
      </c>
      <c r="C302" s="2" t="s">
        <v>544</v>
      </c>
      <c r="D302" s="2" t="s">
        <v>388</v>
      </c>
      <c r="E302" s="2">
        <v>48.62</v>
      </c>
      <c r="F302" s="2" t="s">
        <v>721</v>
      </c>
      <c r="G302" s="2">
        <f t="shared" si="4"/>
        <v>48.62</v>
      </c>
      <c r="H302" s="2">
        <v>0</v>
      </c>
      <c r="I302" s="2">
        <v>48.6198</v>
      </c>
      <c r="J302" s="2" t="s">
        <v>14</v>
      </c>
      <c r="K302" s="2" t="s">
        <v>546</v>
      </c>
      <c r="L302" s="2">
        <v>80</v>
      </c>
      <c r="M302" t="e">
        <f>VLOOKUP(B302,[1]报销单!$D:$G,4,0)</f>
        <v>#N/A</v>
      </c>
    </row>
    <row r="303" ht="27" spans="1:13">
      <c r="A303" s="2">
        <v>80</v>
      </c>
      <c r="B303" s="2" t="s">
        <v>722</v>
      </c>
      <c r="C303" s="2" t="s">
        <v>544</v>
      </c>
      <c r="D303" s="2" t="s">
        <v>388</v>
      </c>
      <c r="E303" s="2">
        <v>4.04</v>
      </c>
      <c r="F303" s="2" t="s">
        <v>723</v>
      </c>
      <c r="G303" s="2">
        <f t="shared" si="4"/>
        <v>4.04</v>
      </c>
      <c r="H303" s="2">
        <v>0</v>
      </c>
      <c r="I303" s="2">
        <v>4.0416</v>
      </c>
      <c r="J303" s="2" t="s">
        <v>14</v>
      </c>
      <c r="K303" s="2" t="s">
        <v>546</v>
      </c>
      <c r="L303" s="2">
        <v>80</v>
      </c>
      <c r="M303" t="e">
        <f>VLOOKUP(B303,[1]报销单!$D:$G,4,0)</f>
        <v>#N/A</v>
      </c>
    </row>
    <row r="304" ht="27" spans="1:13">
      <c r="A304" s="2">
        <v>80</v>
      </c>
      <c r="B304" s="2" t="s">
        <v>724</v>
      </c>
      <c r="C304" s="2" t="s">
        <v>544</v>
      </c>
      <c r="D304" s="2" t="s">
        <v>388</v>
      </c>
      <c r="E304" s="2">
        <v>18.37</v>
      </c>
      <c r="F304" s="2" t="s">
        <v>725</v>
      </c>
      <c r="G304" s="2">
        <f t="shared" si="4"/>
        <v>18.37</v>
      </c>
      <c r="H304" s="2">
        <v>0</v>
      </c>
      <c r="I304" s="2">
        <v>18.3674</v>
      </c>
      <c r="J304" s="2" t="s">
        <v>14</v>
      </c>
      <c r="K304" s="2" t="s">
        <v>546</v>
      </c>
      <c r="L304" s="2">
        <v>80</v>
      </c>
      <c r="M304" t="e">
        <f>VLOOKUP(B304,[1]报销单!$D:$G,4,0)</f>
        <v>#N/A</v>
      </c>
    </row>
    <row r="305" ht="27" spans="1:13">
      <c r="A305" s="2">
        <v>80</v>
      </c>
      <c r="B305" s="2" t="s">
        <v>726</v>
      </c>
      <c r="C305" s="2" t="s">
        <v>544</v>
      </c>
      <c r="D305" s="2" t="s">
        <v>727</v>
      </c>
      <c r="E305" s="2">
        <v>18.71</v>
      </c>
      <c r="F305" s="2" t="s">
        <v>728</v>
      </c>
      <c r="G305" s="2">
        <f t="shared" si="4"/>
        <v>18.71</v>
      </c>
      <c r="H305" s="2">
        <v>0</v>
      </c>
      <c r="I305" s="2">
        <v>18.7075</v>
      </c>
      <c r="J305" s="2" t="s">
        <v>14</v>
      </c>
      <c r="K305" s="2" t="s">
        <v>546</v>
      </c>
      <c r="L305" s="2">
        <v>80</v>
      </c>
      <c r="M305" t="e">
        <f>VLOOKUP(B305,[1]报销单!$D:$G,4,0)</f>
        <v>#N/A</v>
      </c>
    </row>
    <row r="306" ht="27" spans="1:13">
      <c r="A306" s="2">
        <v>81</v>
      </c>
      <c r="B306" s="2" t="s">
        <v>729</v>
      </c>
      <c r="C306" s="2" t="s">
        <v>539</v>
      </c>
      <c r="D306" s="2" t="s">
        <v>388</v>
      </c>
      <c r="E306" s="2">
        <v>50</v>
      </c>
      <c r="F306" s="2" t="s">
        <v>730</v>
      </c>
      <c r="G306" s="2">
        <f t="shared" si="4"/>
        <v>50</v>
      </c>
      <c r="H306" s="2">
        <v>0</v>
      </c>
      <c r="I306" s="2">
        <v>50</v>
      </c>
      <c r="J306" s="2" t="s">
        <v>14</v>
      </c>
      <c r="K306" s="2" t="s">
        <v>731</v>
      </c>
      <c r="L306" s="2">
        <v>81</v>
      </c>
      <c r="M306" t="e">
        <f>VLOOKUP(B306,[1]报销单!$D:$G,4,0)</f>
        <v>#N/A</v>
      </c>
    </row>
    <row r="307" ht="27" spans="1:13">
      <c r="A307" s="2">
        <v>81</v>
      </c>
      <c r="B307" s="2" t="s">
        <v>732</v>
      </c>
      <c r="C307" s="2" t="s">
        <v>539</v>
      </c>
      <c r="D307" s="2" t="s">
        <v>388</v>
      </c>
      <c r="E307" s="2">
        <v>30</v>
      </c>
      <c r="F307" s="2" t="s">
        <v>733</v>
      </c>
      <c r="G307" s="2">
        <f t="shared" si="4"/>
        <v>30</v>
      </c>
      <c r="H307" s="2">
        <v>0</v>
      </c>
      <c r="I307" s="2">
        <v>30</v>
      </c>
      <c r="J307" s="2" t="s">
        <v>14</v>
      </c>
      <c r="K307" s="2" t="s">
        <v>734</v>
      </c>
      <c r="L307" s="2">
        <v>81</v>
      </c>
      <c r="M307" t="e">
        <f>VLOOKUP(B307,[1]报销单!$D:$G,4,0)</f>
        <v>#N/A</v>
      </c>
    </row>
    <row r="308" ht="27" spans="1:13">
      <c r="A308" s="2">
        <v>81</v>
      </c>
      <c r="B308" s="2" t="s">
        <v>735</v>
      </c>
      <c r="C308" s="2" t="s">
        <v>539</v>
      </c>
      <c r="D308" s="2" t="s">
        <v>388</v>
      </c>
      <c r="E308" s="2">
        <v>50</v>
      </c>
      <c r="F308" s="2" t="s">
        <v>736</v>
      </c>
      <c r="G308" s="2">
        <f t="shared" si="4"/>
        <v>50</v>
      </c>
      <c r="H308" s="2">
        <v>0</v>
      </c>
      <c r="I308" s="2">
        <v>50</v>
      </c>
      <c r="J308" s="2" t="s">
        <v>14</v>
      </c>
      <c r="K308" s="2" t="s">
        <v>731</v>
      </c>
      <c r="L308" s="2">
        <v>81</v>
      </c>
      <c r="M308" t="e">
        <f>VLOOKUP(B308,[1]报销单!$D:$G,4,0)</f>
        <v>#N/A</v>
      </c>
    </row>
    <row r="309" ht="27" spans="1:13">
      <c r="A309" s="2">
        <v>81</v>
      </c>
      <c r="B309" s="2" t="s">
        <v>737</v>
      </c>
      <c r="C309" s="2" t="s">
        <v>539</v>
      </c>
      <c r="D309" s="2" t="s">
        <v>388</v>
      </c>
      <c r="E309" s="2">
        <v>30</v>
      </c>
      <c r="F309" s="2" t="s">
        <v>738</v>
      </c>
      <c r="G309" s="2">
        <f t="shared" si="4"/>
        <v>30</v>
      </c>
      <c r="H309" s="2">
        <v>0</v>
      </c>
      <c r="I309" s="2">
        <v>30</v>
      </c>
      <c r="J309" s="2" t="s">
        <v>14</v>
      </c>
      <c r="K309" s="2" t="s">
        <v>734</v>
      </c>
      <c r="L309" s="2">
        <v>81</v>
      </c>
      <c r="M309" t="e">
        <f>VLOOKUP(B309,[1]报销单!$D:$G,4,0)</f>
        <v>#N/A</v>
      </c>
    </row>
    <row r="310" ht="27" spans="1:13">
      <c r="A310" s="2">
        <v>81</v>
      </c>
      <c r="B310" s="2" t="s">
        <v>739</v>
      </c>
      <c r="C310" s="2" t="s">
        <v>539</v>
      </c>
      <c r="D310" s="2" t="s">
        <v>388</v>
      </c>
      <c r="E310" s="2">
        <v>50</v>
      </c>
      <c r="F310" s="2" t="s">
        <v>740</v>
      </c>
      <c r="G310" s="2">
        <f t="shared" si="4"/>
        <v>50</v>
      </c>
      <c r="H310" s="2">
        <v>0</v>
      </c>
      <c r="I310" s="2">
        <v>50</v>
      </c>
      <c r="J310" s="2" t="s">
        <v>14</v>
      </c>
      <c r="K310" s="2" t="s">
        <v>731</v>
      </c>
      <c r="L310" s="2">
        <v>81</v>
      </c>
      <c r="M310" t="e">
        <f>VLOOKUP(B310,[1]报销单!$D:$G,4,0)</f>
        <v>#N/A</v>
      </c>
    </row>
    <row r="311" ht="27" spans="1:13">
      <c r="A311" s="2">
        <v>81</v>
      </c>
      <c r="B311" s="2" t="s">
        <v>741</v>
      </c>
      <c r="C311" s="2" t="s">
        <v>539</v>
      </c>
      <c r="D311" s="2" t="s">
        <v>388</v>
      </c>
      <c r="E311" s="2">
        <v>30</v>
      </c>
      <c r="F311" s="2" t="s">
        <v>742</v>
      </c>
      <c r="G311" s="2">
        <f t="shared" si="4"/>
        <v>30</v>
      </c>
      <c r="H311" s="2">
        <v>0</v>
      </c>
      <c r="I311" s="2">
        <v>30</v>
      </c>
      <c r="J311" s="2" t="s">
        <v>14</v>
      </c>
      <c r="K311" s="2" t="s">
        <v>734</v>
      </c>
      <c r="L311" s="2">
        <v>81</v>
      </c>
      <c r="M311" t="e">
        <f>VLOOKUP(B311,[1]报销单!$D:$G,4,0)</f>
        <v>#N/A</v>
      </c>
    </row>
    <row r="312" ht="27" spans="1:13">
      <c r="A312" s="2">
        <v>81</v>
      </c>
      <c r="B312" s="2" t="s">
        <v>743</v>
      </c>
      <c r="C312" s="2" t="s">
        <v>539</v>
      </c>
      <c r="D312" s="2" t="s">
        <v>388</v>
      </c>
      <c r="E312" s="2">
        <v>50</v>
      </c>
      <c r="F312" s="2" t="s">
        <v>744</v>
      </c>
      <c r="G312" s="2">
        <f t="shared" si="4"/>
        <v>50</v>
      </c>
      <c r="H312" s="2">
        <v>0</v>
      </c>
      <c r="I312" s="2">
        <v>50</v>
      </c>
      <c r="J312" s="2" t="s">
        <v>14</v>
      </c>
      <c r="K312" s="2" t="s">
        <v>731</v>
      </c>
      <c r="L312" s="2">
        <v>81</v>
      </c>
      <c r="M312" t="e">
        <f>VLOOKUP(B312,[1]报销单!$D:$G,4,0)</f>
        <v>#N/A</v>
      </c>
    </row>
    <row r="313" ht="27" spans="1:13">
      <c r="A313" s="2">
        <v>81</v>
      </c>
      <c r="B313" s="2" t="s">
        <v>745</v>
      </c>
      <c r="C313" s="2" t="s">
        <v>539</v>
      </c>
      <c r="D313" s="2" t="s">
        <v>388</v>
      </c>
      <c r="E313" s="2">
        <v>30</v>
      </c>
      <c r="F313" s="2" t="s">
        <v>746</v>
      </c>
      <c r="G313" s="2">
        <f t="shared" si="4"/>
        <v>30</v>
      </c>
      <c r="H313" s="2">
        <v>0</v>
      </c>
      <c r="I313" s="2">
        <v>30</v>
      </c>
      <c r="J313" s="2" t="s">
        <v>14</v>
      </c>
      <c r="K313" s="2" t="s">
        <v>734</v>
      </c>
      <c r="L313" s="2">
        <v>81</v>
      </c>
      <c r="M313" t="e">
        <f>VLOOKUP(B313,[1]报销单!$D:$G,4,0)</f>
        <v>#N/A</v>
      </c>
    </row>
    <row r="314" ht="27" spans="1:13">
      <c r="A314" s="2">
        <v>81</v>
      </c>
      <c r="B314" s="2" t="s">
        <v>747</v>
      </c>
      <c r="C314" s="2" t="s">
        <v>539</v>
      </c>
      <c r="D314" s="2" t="s">
        <v>388</v>
      </c>
      <c r="E314" s="2">
        <v>50</v>
      </c>
      <c r="F314" s="2" t="s">
        <v>748</v>
      </c>
      <c r="G314" s="2">
        <f t="shared" si="4"/>
        <v>50</v>
      </c>
      <c r="H314" s="2">
        <v>0</v>
      </c>
      <c r="I314" s="2">
        <v>50</v>
      </c>
      <c r="J314" s="2" t="s">
        <v>14</v>
      </c>
      <c r="K314" s="2" t="s">
        <v>749</v>
      </c>
      <c r="L314" s="2">
        <v>81</v>
      </c>
      <c r="M314" t="e">
        <f>VLOOKUP(B314,[1]报销单!$D:$G,4,0)</f>
        <v>#N/A</v>
      </c>
    </row>
    <row r="315" ht="27" spans="1:13">
      <c r="A315" s="2">
        <v>81</v>
      </c>
      <c r="B315" s="2" t="s">
        <v>750</v>
      </c>
      <c r="C315" s="2" t="s">
        <v>539</v>
      </c>
      <c r="D315" s="2" t="s">
        <v>751</v>
      </c>
      <c r="E315" s="2">
        <v>50</v>
      </c>
      <c r="F315" s="2" t="s">
        <v>752</v>
      </c>
      <c r="G315" s="2">
        <f t="shared" si="4"/>
        <v>50</v>
      </c>
      <c r="H315" s="2">
        <v>0</v>
      </c>
      <c r="I315" s="2">
        <v>50</v>
      </c>
      <c r="J315" s="2" t="s">
        <v>14</v>
      </c>
      <c r="K315" s="2" t="s">
        <v>542</v>
      </c>
      <c r="L315" s="2">
        <v>81</v>
      </c>
      <c r="M315" t="e">
        <f>VLOOKUP(B315,[1]报销单!$D:$G,4,0)</f>
        <v>#N/A</v>
      </c>
    </row>
    <row r="316" ht="27" spans="1:13">
      <c r="A316" s="2">
        <v>82</v>
      </c>
      <c r="B316" s="2" t="s">
        <v>753</v>
      </c>
      <c r="C316" s="2" t="s">
        <v>539</v>
      </c>
      <c r="D316" s="2" t="s">
        <v>388</v>
      </c>
      <c r="E316" s="2">
        <v>25</v>
      </c>
      <c r="F316" s="2" t="s">
        <v>754</v>
      </c>
      <c r="G316" s="2">
        <f t="shared" si="4"/>
        <v>25</v>
      </c>
      <c r="H316" s="2">
        <v>0</v>
      </c>
      <c r="I316" s="2">
        <v>25</v>
      </c>
      <c r="J316" s="2" t="s">
        <v>14</v>
      </c>
      <c r="K316" s="2" t="s">
        <v>731</v>
      </c>
      <c r="L316" s="2">
        <v>82</v>
      </c>
      <c r="M316" t="e">
        <f>VLOOKUP(B316,[1]报销单!$D:$G,4,0)</f>
        <v>#N/A</v>
      </c>
    </row>
    <row r="317" ht="27" spans="1:13">
      <c r="A317" s="2">
        <v>82</v>
      </c>
      <c r="B317" s="2" t="s">
        <v>755</v>
      </c>
      <c r="C317" s="2" t="s">
        <v>539</v>
      </c>
      <c r="D317" s="2" t="s">
        <v>388</v>
      </c>
      <c r="E317" s="2">
        <v>30</v>
      </c>
      <c r="F317" s="2" t="s">
        <v>756</v>
      </c>
      <c r="G317" s="2">
        <f t="shared" si="4"/>
        <v>30</v>
      </c>
      <c r="H317" s="2">
        <v>0</v>
      </c>
      <c r="I317" s="2">
        <v>30</v>
      </c>
      <c r="J317" s="2" t="s">
        <v>14</v>
      </c>
      <c r="K317" s="2" t="s">
        <v>734</v>
      </c>
      <c r="L317" s="2">
        <v>82</v>
      </c>
      <c r="M317" t="e">
        <f>VLOOKUP(B317,[1]报销单!$D:$G,4,0)</f>
        <v>#N/A</v>
      </c>
    </row>
    <row r="318" ht="27" spans="1:13">
      <c r="A318" s="2">
        <v>82</v>
      </c>
      <c r="B318" s="2" t="s">
        <v>757</v>
      </c>
      <c r="C318" s="2" t="s">
        <v>539</v>
      </c>
      <c r="D318" s="2" t="s">
        <v>388</v>
      </c>
      <c r="E318" s="2">
        <v>50</v>
      </c>
      <c r="F318" s="2" t="s">
        <v>758</v>
      </c>
      <c r="G318" s="2">
        <f t="shared" si="4"/>
        <v>50</v>
      </c>
      <c r="H318" s="2">
        <v>0</v>
      </c>
      <c r="I318" s="2">
        <v>50</v>
      </c>
      <c r="J318" s="2" t="s">
        <v>14</v>
      </c>
      <c r="K318" s="2" t="s">
        <v>542</v>
      </c>
      <c r="L318" s="2">
        <v>82</v>
      </c>
      <c r="M318" t="e">
        <f>VLOOKUP(B318,[1]报销单!$D:$G,4,0)</f>
        <v>#N/A</v>
      </c>
    </row>
    <row r="319" ht="27" spans="1:13">
      <c r="A319" s="2">
        <v>82</v>
      </c>
      <c r="B319" s="2" t="s">
        <v>759</v>
      </c>
      <c r="C319" s="2" t="s">
        <v>539</v>
      </c>
      <c r="D319" s="2" t="s">
        <v>388</v>
      </c>
      <c r="E319" s="2">
        <v>25</v>
      </c>
      <c r="F319" s="2" t="s">
        <v>760</v>
      </c>
      <c r="G319" s="2">
        <f t="shared" si="4"/>
        <v>25</v>
      </c>
      <c r="H319" s="2">
        <v>0</v>
      </c>
      <c r="I319" s="2">
        <v>25</v>
      </c>
      <c r="J319" s="2" t="s">
        <v>14</v>
      </c>
      <c r="K319" s="2" t="s">
        <v>542</v>
      </c>
      <c r="L319" s="2">
        <v>82</v>
      </c>
      <c r="M319" t="e">
        <f>VLOOKUP(B319,[1]报销单!$D:$G,4,0)</f>
        <v>#N/A</v>
      </c>
    </row>
    <row r="320" ht="27" spans="1:13">
      <c r="A320" s="2">
        <v>82</v>
      </c>
      <c r="B320" s="2" t="s">
        <v>761</v>
      </c>
      <c r="C320" s="2" t="s">
        <v>539</v>
      </c>
      <c r="D320" s="2" t="s">
        <v>762</v>
      </c>
      <c r="E320" s="2">
        <v>75</v>
      </c>
      <c r="F320" s="2" t="s">
        <v>763</v>
      </c>
      <c r="G320" s="2">
        <f t="shared" si="4"/>
        <v>75</v>
      </c>
      <c r="H320" s="2">
        <v>0</v>
      </c>
      <c r="I320" s="2">
        <v>75</v>
      </c>
      <c r="J320" s="2" t="s">
        <v>14</v>
      </c>
      <c r="K320" s="2" t="s">
        <v>542</v>
      </c>
      <c r="L320" s="2">
        <v>82</v>
      </c>
      <c r="M320" t="e">
        <f>VLOOKUP(B320,[1]报销单!$D:$G,4,0)</f>
        <v>#N/A</v>
      </c>
    </row>
  </sheetData>
  <autoFilter xmlns:etc="http://www.wps.cn/officeDocument/2017/etCustomData" ref="A1:M32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48" customWidth="1"/>
    <col min="2" max="2" width="22" customWidth="1"/>
    <col min="3" max="3" width="12" customWidth="1"/>
    <col min="4" max="5" width="20" customWidth="1"/>
    <col min="6" max="6" width="48" customWidth="1"/>
  </cols>
  <sheetData>
    <row r="1" spans="1:6">
      <c r="A1" s="1" t="s">
        <v>764</v>
      </c>
      <c r="B1" s="1" t="s">
        <v>3</v>
      </c>
      <c r="C1" s="1" t="s">
        <v>765</v>
      </c>
      <c r="D1" s="1" t="s">
        <v>766</v>
      </c>
      <c r="E1" s="1" t="s">
        <v>2</v>
      </c>
      <c r="F1" s="1" t="s">
        <v>767</v>
      </c>
    </row>
    <row r="2" ht="40.5" spans="1:6">
      <c r="A2" s="2">
        <v>1</v>
      </c>
      <c r="B2" s="2" t="s">
        <v>768</v>
      </c>
      <c r="C2" s="2">
        <v>8</v>
      </c>
      <c r="D2" s="2">
        <v>104</v>
      </c>
      <c r="E2" s="2" t="s">
        <v>12</v>
      </c>
      <c r="F2" s="2" t="s">
        <v>769</v>
      </c>
    </row>
    <row r="3" ht="67.5" spans="1:6">
      <c r="A3" s="2">
        <v>2</v>
      </c>
      <c r="B3" s="2" t="s">
        <v>770</v>
      </c>
      <c r="C3" s="2">
        <v>13</v>
      </c>
      <c r="D3" s="2">
        <v>182</v>
      </c>
      <c r="E3" s="2" t="s">
        <v>12</v>
      </c>
      <c r="F3" s="2" t="s">
        <v>771</v>
      </c>
    </row>
    <row r="4" ht="54" spans="1:6">
      <c r="A4" s="2">
        <v>3</v>
      </c>
      <c r="B4" s="2" t="s">
        <v>772</v>
      </c>
      <c r="C4" s="2">
        <v>11</v>
      </c>
      <c r="D4" s="2">
        <v>208</v>
      </c>
      <c r="E4" s="2" t="s">
        <v>12</v>
      </c>
      <c r="F4" s="2" t="s">
        <v>773</v>
      </c>
    </row>
    <row r="5" ht="27" spans="1:6">
      <c r="A5" s="2">
        <v>4</v>
      </c>
      <c r="B5" s="2" t="s">
        <v>388</v>
      </c>
      <c r="C5" s="2">
        <v>3</v>
      </c>
      <c r="D5" s="2">
        <v>39</v>
      </c>
      <c r="E5" s="2" t="s">
        <v>12</v>
      </c>
      <c r="F5" s="2" t="s">
        <v>774</v>
      </c>
    </row>
    <row r="6" ht="27" spans="1:6">
      <c r="A6" s="2">
        <v>5</v>
      </c>
      <c r="B6" s="2" t="s">
        <v>388</v>
      </c>
      <c r="C6" s="2">
        <v>2</v>
      </c>
      <c r="D6" s="2">
        <v>26</v>
      </c>
      <c r="E6" s="2" t="s">
        <v>12</v>
      </c>
      <c r="F6" s="2" t="s">
        <v>775</v>
      </c>
    </row>
    <row r="7" ht="27" spans="1:6">
      <c r="A7" s="2">
        <v>6</v>
      </c>
      <c r="B7" s="2" t="s">
        <v>388</v>
      </c>
      <c r="C7" s="2">
        <v>2</v>
      </c>
      <c r="D7" s="2">
        <v>26</v>
      </c>
      <c r="E7" s="2" t="s">
        <v>12</v>
      </c>
      <c r="F7" s="2" t="s">
        <v>776</v>
      </c>
    </row>
    <row r="8" ht="27" spans="1:6">
      <c r="A8" s="2">
        <v>7</v>
      </c>
      <c r="B8" s="2" t="s">
        <v>388</v>
      </c>
      <c r="C8" s="2">
        <v>3</v>
      </c>
      <c r="D8" s="2">
        <v>39</v>
      </c>
      <c r="E8" s="2" t="s">
        <v>12</v>
      </c>
      <c r="F8" s="2" t="s">
        <v>777</v>
      </c>
    </row>
    <row r="9" ht="27" spans="1:6">
      <c r="A9" s="2">
        <v>8</v>
      </c>
      <c r="B9" s="2" t="s">
        <v>388</v>
      </c>
      <c r="C9" s="2">
        <v>1</v>
      </c>
      <c r="D9" s="2">
        <v>65</v>
      </c>
      <c r="E9" s="2" t="s">
        <v>12</v>
      </c>
      <c r="F9" s="2" t="s">
        <v>102</v>
      </c>
    </row>
    <row r="10" ht="27" spans="1:6">
      <c r="A10" s="2">
        <v>9</v>
      </c>
      <c r="B10" s="2" t="s">
        <v>388</v>
      </c>
      <c r="C10" s="2">
        <v>5</v>
      </c>
      <c r="D10" s="2">
        <v>91</v>
      </c>
      <c r="E10" s="2" t="s">
        <v>12</v>
      </c>
      <c r="F10" s="2" t="s">
        <v>778</v>
      </c>
    </row>
    <row r="11" ht="27" spans="1:6">
      <c r="A11" s="2">
        <v>10</v>
      </c>
      <c r="B11" s="2" t="s">
        <v>388</v>
      </c>
      <c r="C11" s="2">
        <v>1</v>
      </c>
      <c r="D11" s="2">
        <v>13</v>
      </c>
      <c r="E11" s="2" t="s">
        <v>12</v>
      </c>
      <c r="F11" s="2" t="s">
        <v>116</v>
      </c>
    </row>
    <row r="12" ht="27" spans="1:6">
      <c r="A12" s="2">
        <v>11</v>
      </c>
      <c r="B12" s="2" t="s">
        <v>388</v>
      </c>
      <c r="C12" s="2">
        <v>4</v>
      </c>
      <c r="D12" s="2">
        <v>52</v>
      </c>
      <c r="E12" s="2" t="s">
        <v>12</v>
      </c>
      <c r="F12" s="2" t="s">
        <v>779</v>
      </c>
    </row>
    <row r="13" ht="27" spans="1:6">
      <c r="A13" s="2">
        <v>12</v>
      </c>
      <c r="B13" s="2" t="s">
        <v>388</v>
      </c>
      <c r="C13" s="2">
        <v>5</v>
      </c>
      <c r="D13" s="2">
        <v>65</v>
      </c>
      <c r="E13" s="2" t="s">
        <v>12</v>
      </c>
      <c r="F13" s="2" t="s">
        <v>780</v>
      </c>
    </row>
    <row r="14" ht="27" spans="1:6">
      <c r="A14" s="2">
        <v>13</v>
      </c>
      <c r="B14" s="2" t="s">
        <v>388</v>
      </c>
      <c r="C14" s="2">
        <v>3</v>
      </c>
      <c r="D14" s="2">
        <v>39</v>
      </c>
      <c r="E14" s="2" t="s">
        <v>12</v>
      </c>
      <c r="F14" s="2" t="s">
        <v>781</v>
      </c>
    </row>
    <row r="15" ht="27" spans="1:6">
      <c r="A15" s="2">
        <v>14</v>
      </c>
      <c r="B15" s="2" t="s">
        <v>388</v>
      </c>
      <c r="C15" s="2">
        <v>1</v>
      </c>
      <c r="D15" s="2">
        <v>13</v>
      </c>
      <c r="E15" s="2" t="s">
        <v>12</v>
      </c>
      <c r="F15" s="2" t="s">
        <v>143</v>
      </c>
    </row>
    <row r="16" ht="27" spans="1:6">
      <c r="A16" s="2">
        <v>15</v>
      </c>
      <c r="B16" s="2" t="s">
        <v>388</v>
      </c>
      <c r="C16" s="2">
        <v>1</v>
      </c>
      <c r="D16" s="2">
        <v>26</v>
      </c>
      <c r="E16" s="2" t="s">
        <v>12</v>
      </c>
      <c r="F16" s="2" t="s">
        <v>145</v>
      </c>
    </row>
    <row r="17" ht="27" spans="1:6">
      <c r="A17" s="2">
        <v>16</v>
      </c>
      <c r="B17" s="2" t="s">
        <v>388</v>
      </c>
      <c r="C17" s="2">
        <v>2</v>
      </c>
      <c r="D17" s="2">
        <v>39</v>
      </c>
      <c r="E17" s="2" t="s">
        <v>12</v>
      </c>
      <c r="F17" s="2" t="s">
        <v>782</v>
      </c>
    </row>
    <row r="18" ht="40.5" spans="1:6">
      <c r="A18" s="2">
        <v>17</v>
      </c>
      <c r="B18" s="2" t="s">
        <v>388</v>
      </c>
      <c r="C18" s="2">
        <v>8</v>
      </c>
      <c r="D18" s="2">
        <v>104</v>
      </c>
      <c r="E18" s="2" t="s">
        <v>12</v>
      </c>
      <c r="F18" s="2" t="s">
        <v>783</v>
      </c>
    </row>
    <row r="19" ht="27" spans="1:6">
      <c r="A19" s="2">
        <v>18</v>
      </c>
      <c r="B19" s="2" t="s">
        <v>388</v>
      </c>
      <c r="C19" s="2">
        <v>1</v>
      </c>
      <c r="D19" s="2">
        <v>13</v>
      </c>
      <c r="E19" s="2" t="s">
        <v>12</v>
      </c>
      <c r="F19" s="2" t="s">
        <v>168</v>
      </c>
    </row>
    <row r="20" ht="27" spans="1:6">
      <c r="A20" s="2">
        <v>19</v>
      </c>
      <c r="B20" s="2" t="s">
        <v>388</v>
      </c>
      <c r="C20" s="2">
        <v>2</v>
      </c>
      <c r="D20" s="2">
        <v>26</v>
      </c>
      <c r="E20" s="2" t="s">
        <v>12</v>
      </c>
      <c r="F20" s="2" t="s">
        <v>784</v>
      </c>
    </row>
    <row r="21" ht="189" spans="1:6">
      <c r="A21" s="2">
        <v>20</v>
      </c>
      <c r="B21" s="2" t="s">
        <v>388</v>
      </c>
      <c r="C21" s="2">
        <v>41</v>
      </c>
      <c r="D21" s="2">
        <v>689</v>
      </c>
      <c r="E21" s="2" t="s">
        <v>12</v>
      </c>
      <c r="F21" s="2" t="s">
        <v>785</v>
      </c>
    </row>
    <row r="22" ht="54" spans="1:6">
      <c r="A22" s="2">
        <v>21</v>
      </c>
      <c r="B22" s="2" t="s">
        <v>388</v>
      </c>
      <c r="C22" s="2">
        <v>9</v>
      </c>
      <c r="D22" s="2">
        <v>299</v>
      </c>
      <c r="E22" s="2" t="s">
        <v>12</v>
      </c>
      <c r="F22" s="2" t="s">
        <v>786</v>
      </c>
    </row>
    <row r="23" ht="54" spans="1:6">
      <c r="A23" s="2">
        <v>22</v>
      </c>
      <c r="B23" s="2" t="s">
        <v>388</v>
      </c>
      <c r="C23" s="2">
        <v>9</v>
      </c>
      <c r="D23" s="2">
        <v>234</v>
      </c>
      <c r="E23" s="2" t="s">
        <v>12</v>
      </c>
      <c r="F23" s="2" t="s">
        <v>787</v>
      </c>
    </row>
    <row r="24" ht="27" spans="1:6">
      <c r="A24" s="2">
        <v>23</v>
      </c>
      <c r="B24" s="2" t="s">
        <v>388</v>
      </c>
      <c r="C24" s="2">
        <v>4</v>
      </c>
      <c r="D24" s="2">
        <v>78</v>
      </c>
      <c r="E24" s="2" t="s">
        <v>12</v>
      </c>
      <c r="F24" s="2" t="s">
        <v>788</v>
      </c>
    </row>
    <row r="25" ht="27" spans="1:6">
      <c r="A25" s="2">
        <v>24</v>
      </c>
      <c r="B25" s="2" t="s">
        <v>388</v>
      </c>
      <c r="C25" s="2">
        <v>1</v>
      </c>
      <c r="D25" s="2">
        <v>65</v>
      </c>
      <c r="E25" s="2" t="s">
        <v>12</v>
      </c>
      <c r="F25" s="2" t="s">
        <v>303</v>
      </c>
    </row>
    <row r="26" ht="27" spans="1:6">
      <c r="A26" s="2">
        <v>25</v>
      </c>
      <c r="B26" s="2" t="s">
        <v>388</v>
      </c>
      <c r="C26" s="2">
        <v>1</v>
      </c>
      <c r="D26" s="2">
        <v>13</v>
      </c>
      <c r="E26" s="2" t="s">
        <v>12</v>
      </c>
      <c r="F26" s="2" t="s">
        <v>305</v>
      </c>
    </row>
    <row r="27" ht="40.5" spans="1:6">
      <c r="A27" s="2">
        <v>26</v>
      </c>
      <c r="B27" s="2" t="s">
        <v>388</v>
      </c>
      <c r="C27" s="2">
        <v>6</v>
      </c>
      <c r="D27" s="2">
        <v>117</v>
      </c>
      <c r="E27" s="2" t="s">
        <v>12</v>
      </c>
      <c r="F27" s="2" t="s">
        <v>789</v>
      </c>
    </row>
    <row r="28" ht="27" spans="1:6">
      <c r="A28" s="2">
        <v>27</v>
      </c>
      <c r="B28" s="2" t="s">
        <v>388</v>
      </c>
      <c r="C28" s="2">
        <v>1</v>
      </c>
      <c r="D28" s="2">
        <v>39</v>
      </c>
      <c r="E28" s="2" t="s">
        <v>12</v>
      </c>
      <c r="F28" s="2" t="s">
        <v>320</v>
      </c>
    </row>
    <row r="29" ht="27" spans="1:6">
      <c r="A29" s="2">
        <v>28</v>
      </c>
      <c r="B29" s="2" t="s">
        <v>384</v>
      </c>
      <c r="C29" s="2">
        <v>4</v>
      </c>
      <c r="D29" s="2">
        <v>91</v>
      </c>
      <c r="E29" s="2" t="s">
        <v>12</v>
      </c>
      <c r="F29" s="2" t="s">
        <v>790</v>
      </c>
    </row>
    <row r="30" ht="27" spans="1:6">
      <c r="A30" s="2">
        <v>29</v>
      </c>
      <c r="B30" s="2" t="s">
        <v>791</v>
      </c>
      <c r="C30" s="2">
        <v>1</v>
      </c>
      <c r="D30" s="2">
        <v>13</v>
      </c>
      <c r="E30" s="2" t="s">
        <v>12</v>
      </c>
      <c r="F30" s="2" t="s">
        <v>330</v>
      </c>
    </row>
    <row r="31" ht="27" spans="1:6">
      <c r="A31" s="2">
        <v>30</v>
      </c>
      <c r="B31" s="2" t="s">
        <v>792</v>
      </c>
      <c r="C31" s="2">
        <v>1</v>
      </c>
      <c r="D31" s="2">
        <v>13</v>
      </c>
      <c r="E31" s="2" t="s">
        <v>12</v>
      </c>
      <c r="F31" s="2" t="s">
        <v>332</v>
      </c>
    </row>
    <row r="32" ht="27" spans="1:6">
      <c r="A32" s="2">
        <v>31</v>
      </c>
      <c r="B32" s="2" t="s">
        <v>793</v>
      </c>
      <c r="C32" s="2">
        <v>3</v>
      </c>
      <c r="D32" s="2">
        <v>65</v>
      </c>
      <c r="E32" s="2" t="s">
        <v>12</v>
      </c>
      <c r="F32" s="2" t="s">
        <v>794</v>
      </c>
    </row>
    <row r="33" ht="54" spans="1:6">
      <c r="A33" s="2">
        <v>32</v>
      </c>
      <c r="B33" s="2" t="s">
        <v>795</v>
      </c>
      <c r="C33" s="2">
        <v>9</v>
      </c>
      <c r="D33" s="2">
        <v>299</v>
      </c>
      <c r="E33" s="2" t="s">
        <v>12</v>
      </c>
      <c r="F33" s="2" t="s">
        <v>796</v>
      </c>
    </row>
    <row r="34" ht="27" spans="1:6">
      <c r="A34" s="2">
        <v>33</v>
      </c>
      <c r="B34" s="2" t="s">
        <v>797</v>
      </c>
      <c r="C34" s="2">
        <v>4</v>
      </c>
      <c r="D34" s="2">
        <v>91</v>
      </c>
      <c r="E34" s="2" t="s">
        <v>12</v>
      </c>
      <c r="F34" s="2" t="s">
        <v>798</v>
      </c>
    </row>
    <row r="35" ht="27" spans="1:6">
      <c r="A35" s="2">
        <v>34</v>
      </c>
      <c r="B35" s="2" t="s">
        <v>799</v>
      </c>
      <c r="C35" s="2">
        <v>1</v>
      </c>
      <c r="D35" s="2">
        <v>26</v>
      </c>
      <c r="E35" s="2" t="s">
        <v>12</v>
      </c>
      <c r="F35" s="2" t="s">
        <v>367</v>
      </c>
    </row>
    <row r="36" ht="27" spans="1:6">
      <c r="A36" s="2">
        <v>35</v>
      </c>
      <c r="B36" s="2" t="s">
        <v>800</v>
      </c>
      <c r="C36" s="2">
        <v>2</v>
      </c>
      <c r="D36" s="2">
        <v>52</v>
      </c>
      <c r="E36" s="2" t="s">
        <v>12</v>
      </c>
      <c r="F36" s="2" t="s">
        <v>801</v>
      </c>
    </row>
    <row r="37" ht="40.5" spans="1:6">
      <c r="A37" s="2">
        <v>36</v>
      </c>
      <c r="B37" s="2" t="s">
        <v>802</v>
      </c>
      <c r="C37" s="2">
        <v>6</v>
      </c>
      <c r="D37" s="2">
        <v>91</v>
      </c>
      <c r="E37" s="2" t="s">
        <v>12</v>
      </c>
      <c r="F37" s="2" t="s">
        <v>803</v>
      </c>
    </row>
    <row r="38" spans="1:6">
      <c r="A38" s="2">
        <v>38</v>
      </c>
      <c r="B38" s="2" t="s">
        <v>388</v>
      </c>
      <c r="C38" s="2">
        <v>1</v>
      </c>
      <c r="D38" s="2">
        <v>23.31</v>
      </c>
      <c r="E38" s="2" t="s">
        <v>387</v>
      </c>
      <c r="F38" s="2" t="s">
        <v>386</v>
      </c>
    </row>
    <row r="39" ht="27" spans="1:6">
      <c r="A39" s="2">
        <v>39</v>
      </c>
      <c r="B39" s="2" t="s">
        <v>388</v>
      </c>
      <c r="C39" s="2">
        <v>5</v>
      </c>
      <c r="D39" s="2">
        <v>115.51</v>
      </c>
      <c r="E39" s="2" t="s">
        <v>387</v>
      </c>
      <c r="F39" s="2" t="s">
        <v>804</v>
      </c>
    </row>
    <row r="40" spans="1:6">
      <c r="A40" s="2">
        <v>40</v>
      </c>
      <c r="B40" s="2" t="s">
        <v>388</v>
      </c>
      <c r="C40" s="2">
        <v>1</v>
      </c>
      <c r="D40" s="2">
        <v>17.39</v>
      </c>
      <c r="E40" s="2" t="s">
        <v>387</v>
      </c>
      <c r="F40" s="2" t="s">
        <v>402</v>
      </c>
    </row>
    <row r="41" ht="40.5" spans="1:6">
      <c r="A41" s="2">
        <v>41</v>
      </c>
      <c r="B41" s="2" t="s">
        <v>388</v>
      </c>
      <c r="C41" s="2">
        <v>6</v>
      </c>
      <c r="D41" s="2">
        <v>109.9</v>
      </c>
      <c r="E41" s="2" t="s">
        <v>387</v>
      </c>
      <c r="F41" s="2" t="s">
        <v>805</v>
      </c>
    </row>
    <row r="42" ht="54" spans="1:6">
      <c r="A42" s="2">
        <v>42</v>
      </c>
      <c r="B42" s="2" t="s">
        <v>388</v>
      </c>
      <c r="C42" s="2">
        <v>9</v>
      </c>
      <c r="D42" s="2">
        <v>146.07</v>
      </c>
      <c r="E42" s="2" t="s">
        <v>387</v>
      </c>
      <c r="F42" s="2" t="s">
        <v>806</v>
      </c>
    </row>
    <row r="43" ht="27" spans="1:6">
      <c r="A43" s="2">
        <v>43</v>
      </c>
      <c r="B43" s="2" t="s">
        <v>436</v>
      </c>
      <c r="C43" s="2">
        <v>1</v>
      </c>
      <c r="D43" s="2">
        <v>19.95</v>
      </c>
      <c r="E43" s="2" t="s">
        <v>387</v>
      </c>
      <c r="F43" s="2" t="s">
        <v>435</v>
      </c>
    </row>
    <row r="44" ht="27" spans="1:6">
      <c r="A44" s="2">
        <v>44</v>
      </c>
      <c r="B44" s="2" t="s">
        <v>447</v>
      </c>
      <c r="C44" s="2">
        <v>4</v>
      </c>
      <c r="D44" s="2">
        <v>12</v>
      </c>
      <c r="E44" s="2" t="s">
        <v>439</v>
      </c>
      <c r="F44" s="2" t="s">
        <v>807</v>
      </c>
    </row>
    <row r="45" spans="1:6">
      <c r="A45" s="2">
        <v>45</v>
      </c>
      <c r="B45" s="2" t="s">
        <v>808</v>
      </c>
      <c r="C45" s="2">
        <v>3</v>
      </c>
      <c r="D45" s="2">
        <v>14</v>
      </c>
      <c r="E45" s="2" t="s">
        <v>439</v>
      </c>
      <c r="F45" s="2" t="s">
        <v>809</v>
      </c>
    </row>
    <row r="46" spans="1:6">
      <c r="A46" s="2">
        <v>46</v>
      </c>
      <c r="B46" s="2" t="s">
        <v>463</v>
      </c>
      <c r="C46" s="2">
        <v>1</v>
      </c>
      <c r="D46" s="2">
        <v>3</v>
      </c>
      <c r="E46" s="2" t="s">
        <v>439</v>
      </c>
      <c r="F46" s="2" t="s">
        <v>462</v>
      </c>
    </row>
    <row r="47" spans="1:6">
      <c r="A47" s="2">
        <v>47</v>
      </c>
      <c r="B47" s="2" t="s">
        <v>468</v>
      </c>
      <c r="C47" s="2">
        <v>1</v>
      </c>
      <c r="D47" s="2">
        <v>25</v>
      </c>
      <c r="E47" s="2" t="s">
        <v>467</v>
      </c>
      <c r="F47" s="2" t="s">
        <v>466</v>
      </c>
    </row>
    <row r="48" spans="1:6">
      <c r="A48" s="2">
        <v>48</v>
      </c>
      <c r="B48" s="2" t="s">
        <v>473</v>
      </c>
      <c r="C48" s="2">
        <v>1</v>
      </c>
      <c r="D48" s="2">
        <v>4</v>
      </c>
      <c r="E48" s="2" t="s">
        <v>472</v>
      </c>
      <c r="F48" s="2" t="s">
        <v>471</v>
      </c>
    </row>
    <row r="49" spans="1:6">
      <c r="A49" s="2">
        <v>49</v>
      </c>
      <c r="B49" s="2" t="s">
        <v>483</v>
      </c>
      <c r="C49" s="2">
        <v>3</v>
      </c>
      <c r="D49" s="2">
        <v>75</v>
      </c>
      <c r="E49" s="2" t="s">
        <v>477</v>
      </c>
      <c r="F49" s="2" t="s">
        <v>810</v>
      </c>
    </row>
    <row r="50" spans="1:6">
      <c r="A50" s="2">
        <v>50</v>
      </c>
      <c r="B50" s="2" t="s">
        <v>486</v>
      </c>
      <c r="C50" s="2">
        <v>1</v>
      </c>
      <c r="D50" s="2">
        <v>50</v>
      </c>
      <c r="E50" s="2" t="s">
        <v>477</v>
      </c>
      <c r="F50" s="2" t="s">
        <v>485</v>
      </c>
    </row>
    <row r="51" spans="1:6">
      <c r="A51" s="2">
        <v>51</v>
      </c>
      <c r="B51" s="2" t="s">
        <v>490</v>
      </c>
      <c r="C51" s="2">
        <v>1</v>
      </c>
      <c r="D51" s="2">
        <v>40</v>
      </c>
      <c r="E51" s="2" t="s">
        <v>489</v>
      </c>
      <c r="F51" s="2" t="s">
        <v>488</v>
      </c>
    </row>
    <row r="52" ht="27" spans="1:6">
      <c r="A52" s="2">
        <v>52</v>
      </c>
      <c r="B52" s="2" t="s">
        <v>498</v>
      </c>
      <c r="C52" s="2">
        <v>2</v>
      </c>
      <c r="D52" s="2">
        <v>44</v>
      </c>
      <c r="E52" s="2" t="s">
        <v>494</v>
      </c>
      <c r="F52" s="2" t="s">
        <v>811</v>
      </c>
    </row>
    <row r="53" ht="27" spans="1:6">
      <c r="A53" s="2">
        <v>53</v>
      </c>
      <c r="B53" s="2" t="s">
        <v>503</v>
      </c>
      <c r="C53" s="2">
        <v>2</v>
      </c>
      <c r="D53" s="2">
        <v>52</v>
      </c>
      <c r="E53" s="2" t="s">
        <v>494</v>
      </c>
      <c r="F53" s="2" t="s">
        <v>812</v>
      </c>
    </row>
    <row r="54" ht="27" spans="1:6">
      <c r="A54" s="2">
        <v>54</v>
      </c>
      <c r="B54" s="2" t="s">
        <v>506</v>
      </c>
      <c r="C54" s="2">
        <v>1</v>
      </c>
      <c r="D54" s="2">
        <v>11</v>
      </c>
      <c r="E54" s="2" t="s">
        <v>494</v>
      </c>
      <c r="F54" s="2" t="s">
        <v>505</v>
      </c>
    </row>
    <row r="55" ht="27" spans="1:6">
      <c r="A55" s="2">
        <v>55</v>
      </c>
      <c r="B55" s="2" t="s">
        <v>388</v>
      </c>
      <c r="C55" s="2">
        <v>1</v>
      </c>
      <c r="D55" s="2">
        <v>69</v>
      </c>
      <c r="E55" s="2" t="s">
        <v>509</v>
      </c>
      <c r="F55" s="2" t="s">
        <v>508</v>
      </c>
    </row>
    <row r="56" ht="27" spans="1:6">
      <c r="A56" s="2">
        <v>56</v>
      </c>
      <c r="B56" s="2" t="s">
        <v>513</v>
      </c>
      <c r="C56" s="2">
        <v>1</v>
      </c>
      <c r="D56" s="2">
        <v>23</v>
      </c>
      <c r="E56" s="2" t="s">
        <v>509</v>
      </c>
      <c r="F56" s="2" t="s">
        <v>512</v>
      </c>
    </row>
    <row r="57" spans="1:6">
      <c r="A57" s="2">
        <v>57</v>
      </c>
      <c r="B57" s="2" t="s">
        <v>521</v>
      </c>
      <c r="C57" s="2">
        <v>2</v>
      </c>
      <c r="D57" s="2">
        <v>50</v>
      </c>
      <c r="E57" s="2" t="s">
        <v>517</v>
      </c>
      <c r="F57" s="2" t="s">
        <v>813</v>
      </c>
    </row>
    <row r="58" ht="27" spans="1:6">
      <c r="A58" s="2">
        <v>58</v>
      </c>
      <c r="B58" s="2" t="s">
        <v>531</v>
      </c>
      <c r="C58" s="2">
        <v>4</v>
      </c>
      <c r="D58" s="2">
        <v>100</v>
      </c>
      <c r="E58" s="2" t="s">
        <v>517</v>
      </c>
      <c r="F58" s="2" t="s">
        <v>814</v>
      </c>
    </row>
    <row r="59" spans="1:6">
      <c r="A59" s="2">
        <v>59</v>
      </c>
      <c r="B59" s="2" t="s">
        <v>536</v>
      </c>
      <c r="C59" s="2">
        <v>2</v>
      </c>
      <c r="D59" s="2">
        <v>50</v>
      </c>
      <c r="E59" s="2" t="s">
        <v>517</v>
      </c>
      <c r="F59" s="2" t="s">
        <v>815</v>
      </c>
    </row>
    <row r="60" spans="1:6">
      <c r="A60" s="2">
        <v>60</v>
      </c>
      <c r="B60" s="2" t="s">
        <v>540</v>
      </c>
      <c r="C60" s="2">
        <v>1</v>
      </c>
      <c r="D60" s="2">
        <v>50</v>
      </c>
      <c r="E60" s="2" t="s">
        <v>539</v>
      </c>
      <c r="F60" s="2" t="s">
        <v>538</v>
      </c>
    </row>
    <row r="61" spans="1:6">
      <c r="A61" s="2">
        <v>61</v>
      </c>
      <c r="B61" s="2" t="s">
        <v>550</v>
      </c>
      <c r="C61" s="2">
        <v>3</v>
      </c>
      <c r="D61" s="2">
        <v>72</v>
      </c>
      <c r="E61" s="2" t="s">
        <v>544</v>
      </c>
      <c r="F61" s="2" t="s">
        <v>816</v>
      </c>
    </row>
    <row r="62" ht="40.5" spans="1:6">
      <c r="A62" s="2">
        <v>62</v>
      </c>
      <c r="B62" s="2" t="s">
        <v>563</v>
      </c>
      <c r="C62" s="2">
        <v>6</v>
      </c>
      <c r="D62" s="2">
        <v>180.98</v>
      </c>
      <c r="E62" s="2" t="s">
        <v>544</v>
      </c>
      <c r="F62" s="2" t="s">
        <v>817</v>
      </c>
    </row>
    <row r="63" ht="27" spans="1:6">
      <c r="A63" s="2">
        <v>63</v>
      </c>
      <c r="B63" s="2" t="s">
        <v>567</v>
      </c>
      <c r="C63" s="2">
        <v>1</v>
      </c>
      <c r="D63" s="2">
        <v>50</v>
      </c>
      <c r="E63" s="2" t="s">
        <v>566</v>
      </c>
      <c r="F63" s="2" t="s">
        <v>565</v>
      </c>
    </row>
    <row r="64" ht="27" spans="1:6">
      <c r="A64" s="2">
        <v>64</v>
      </c>
      <c r="B64" s="2" t="s">
        <v>571</v>
      </c>
      <c r="C64" s="2">
        <v>1</v>
      </c>
      <c r="D64" s="2">
        <v>716</v>
      </c>
      <c r="E64" s="2" t="s">
        <v>566</v>
      </c>
      <c r="F64" s="2" t="s">
        <v>570</v>
      </c>
    </row>
    <row r="65" spans="1:6">
      <c r="A65" s="2">
        <v>65</v>
      </c>
      <c r="B65" s="2" t="s">
        <v>576</v>
      </c>
      <c r="C65" s="2">
        <v>1</v>
      </c>
      <c r="D65" s="2">
        <v>25</v>
      </c>
      <c r="E65" s="2" t="s">
        <v>575</v>
      </c>
      <c r="F65" s="2" t="s">
        <v>574</v>
      </c>
    </row>
    <row r="66" spans="1:6">
      <c r="A66" s="2">
        <v>66</v>
      </c>
      <c r="B66" s="2" t="s">
        <v>580</v>
      </c>
      <c r="C66" s="2">
        <v>1</v>
      </c>
      <c r="D66" s="2">
        <v>50</v>
      </c>
      <c r="E66" s="2" t="s">
        <v>575</v>
      </c>
      <c r="F66" s="2" t="s">
        <v>579</v>
      </c>
    </row>
    <row r="67" ht="27" spans="1:6">
      <c r="A67" s="2">
        <v>67</v>
      </c>
      <c r="B67" s="2" t="s">
        <v>590</v>
      </c>
      <c r="C67" s="2">
        <v>4</v>
      </c>
      <c r="D67" s="2">
        <v>115</v>
      </c>
      <c r="E67" s="2" t="s">
        <v>477</v>
      </c>
      <c r="F67" s="2" t="s">
        <v>818</v>
      </c>
    </row>
    <row r="68" spans="1:6">
      <c r="A68" s="2">
        <v>68</v>
      </c>
      <c r="B68" s="2" t="s">
        <v>595</v>
      </c>
      <c r="C68" s="2">
        <v>1</v>
      </c>
      <c r="D68" s="2">
        <v>20</v>
      </c>
      <c r="E68" s="2" t="s">
        <v>594</v>
      </c>
      <c r="F68" s="2" t="s">
        <v>593</v>
      </c>
    </row>
    <row r="69" ht="54" spans="1:6">
      <c r="A69" s="2">
        <v>69</v>
      </c>
      <c r="B69" s="2" t="s">
        <v>617</v>
      </c>
      <c r="C69" s="2">
        <v>9</v>
      </c>
      <c r="D69" s="2">
        <v>455</v>
      </c>
      <c r="E69" s="2" t="s">
        <v>599</v>
      </c>
      <c r="F69" s="2" t="s">
        <v>819</v>
      </c>
    </row>
    <row r="70" ht="54" spans="1:6">
      <c r="A70" s="2">
        <v>70</v>
      </c>
      <c r="B70" s="2" t="s">
        <v>636</v>
      </c>
      <c r="C70" s="2">
        <v>9</v>
      </c>
      <c r="D70" s="2">
        <v>490</v>
      </c>
      <c r="E70" s="2" t="s">
        <v>599</v>
      </c>
      <c r="F70" s="2" t="s">
        <v>820</v>
      </c>
    </row>
    <row r="71" spans="1:6">
      <c r="A71" s="2">
        <v>71</v>
      </c>
      <c r="B71" s="2" t="s">
        <v>643</v>
      </c>
      <c r="C71" s="2">
        <v>2</v>
      </c>
      <c r="D71" s="2">
        <v>162</v>
      </c>
      <c r="E71" s="2" t="s">
        <v>639</v>
      </c>
      <c r="F71" s="2" t="s">
        <v>821</v>
      </c>
    </row>
    <row r="72" spans="1:6">
      <c r="A72" s="2">
        <v>72</v>
      </c>
      <c r="B72" s="2" t="s">
        <v>646</v>
      </c>
      <c r="C72" s="2">
        <v>1</v>
      </c>
      <c r="D72" s="2">
        <v>45</v>
      </c>
      <c r="E72" s="2" t="s">
        <v>639</v>
      </c>
      <c r="F72" s="2" t="s">
        <v>645</v>
      </c>
    </row>
    <row r="73" spans="1:6">
      <c r="A73" s="2">
        <v>73</v>
      </c>
      <c r="B73" s="2" t="s">
        <v>650</v>
      </c>
      <c r="C73" s="2">
        <v>1</v>
      </c>
      <c r="D73" s="2">
        <v>5</v>
      </c>
      <c r="E73" s="2" t="s">
        <v>649</v>
      </c>
      <c r="F73" s="2" t="s">
        <v>648</v>
      </c>
    </row>
    <row r="74" spans="1:6">
      <c r="A74" s="2">
        <v>74</v>
      </c>
      <c r="B74" s="2" t="s">
        <v>654</v>
      </c>
      <c r="C74" s="2">
        <v>1</v>
      </c>
      <c r="D74" s="2">
        <v>10</v>
      </c>
      <c r="E74" s="2" t="s">
        <v>649</v>
      </c>
      <c r="F74" s="2" t="s">
        <v>653</v>
      </c>
    </row>
    <row r="75" spans="1:6">
      <c r="A75" s="2">
        <v>75</v>
      </c>
      <c r="B75" s="2" t="s">
        <v>658</v>
      </c>
      <c r="C75" s="2">
        <v>1</v>
      </c>
      <c r="D75" s="2">
        <v>150</v>
      </c>
      <c r="E75" s="2" t="s">
        <v>657</v>
      </c>
      <c r="F75" s="2" t="s">
        <v>656</v>
      </c>
    </row>
    <row r="76" spans="1:6">
      <c r="A76" s="2">
        <v>76</v>
      </c>
      <c r="B76" s="2" t="s">
        <v>663</v>
      </c>
      <c r="C76" s="2">
        <v>1</v>
      </c>
      <c r="D76" s="2">
        <v>12</v>
      </c>
      <c r="E76" s="2" t="s">
        <v>662</v>
      </c>
      <c r="F76" s="2" t="s">
        <v>661</v>
      </c>
    </row>
    <row r="77" spans="1:6">
      <c r="A77" s="2">
        <v>77</v>
      </c>
      <c r="B77" s="2" t="s">
        <v>667</v>
      </c>
      <c r="C77" s="2">
        <v>1</v>
      </c>
      <c r="D77" s="2">
        <v>3</v>
      </c>
      <c r="E77" s="2" t="s">
        <v>439</v>
      </c>
      <c r="F77" s="2" t="s">
        <v>666</v>
      </c>
    </row>
    <row r="78" ht="27" spans="1:6">
      <c r="A78" s="2">
        <v>78</v>
      </c>
      <c r="B78" s="2" t="s">
        <v>671</v>
      </c>
      <c r="C78" s="2">
        <v>1</v>
      </c>
      <c r="D78" s="2">
        <v>4</v>
      </c>
      <c r="E78" s="2" t="s">
        <v>458</v>
      </c>
      <c r="F78" s="2" t="s">
        <v>670</v>
      </c>
    </row>
    <row r="79" ht="81" spans="1:6">
      <c r="A79" s="2">
        <v>79</v>
      </c>
      <c r="B79" s="2" t="s">
        <v>704</v>
      </c>
      <c r="C79" s="2">
        <v>15</v>
      </c>
      <c r="D79" s="2">
        <v>411.03</v>
      </c>
      <c r="E79" s="2" t="s">
        <v>544</v>
      </c>
      <c r="F79" s="2" t="s">
        <v>822</v>
      </c>
    </row>
    <row r="80" ht="54" spans="1:6">
      <c r="A80" s="2">
        <v>80</v>
      </c>
      <c r="B80" s="2" t="s">
        <v>727</v>
      </c>
      <c r="C80" s="2">
        <v>11</v>
      </c>
      <c r="D80" s="2">
        <v>247.02</v>
      </c>
      <c r="E80" s="2" t="s">
        <v>544</v>
      </c>
      <c r="F80" s="2" t="s">
        <v>823</v>
      </c>
    </row>
    <row r="81" ht="54" spans="1:6">
      <c r="A81" s="2">
        <v>81</v>
      </c>
      <c r="B81" s="2" t="s">
        <v>751</v>
      </c>
      <c r="C81" s="2">
        <v>10</v>
      </c>
      <c r="D81" s="2">
        <v>420</v>
      </c>
      <c r="E81" s="2" t="s">
        <v>539</v>
      </c>
      <c r="F81" s="2" t="s">
        <v>824</v>
      </c>
    </row>
    <row r="82" ht="27" spans="1:6">
      <c r="A82" s="2">
        <v>82</v>
      </c>
      <c r="B82" s="2" t="s">
        <v>762</v>
      </c>
      <c r="C82" s="2">
        <v>5</v>
      </c>
      <c r="D82" s="2">
        <v>205</v>
      </c>
      <c r="E82" s="2" t="s">
        <v>539</v>
      </c>
      <c r="F82" s="2" t="s">
        <v>825</v>
      </c>
    </row>
    <row r="83" spans="1:6">
      <c r="A83" s="2" t="s">
        <v>388</v>
      </c>
      <c r="B83" s="2" t="s">
        <v>388</v>
      </c>
      <c r="C83" s="2" t="s">
        <v>388</v>
      </c>
      <c r="D83" s="2" t="s">
        <v>388</v>
      </c>
      <c r="E83" s="2" t="s">
        <v>388</v>
      </c>
      <c r="F83" s="2" t="s">
        <v>388</v>
      </c>
    </row>
    <row r="84" ht="27" spans="1:6">
      <c r="A84" s="2" t="s">
        <v>826</v>
      </c>
      <c r="B84" s="2" t="s">
        <v>768</v>
      </c>
      <c r="C84" s="2">
        <v>104</v>
      </c>
      <c r="D84" s="2" t="s">
        <v>12</v>
      </c>
      <c r="E84" s="2" t="s">
        <v>827</v>
      </c>
      <c r="F84" s="2"/>
    </row>
    <row r="85" ht="27" spans="1:6">
      <c r="A85" s="2" t="s">
        <v>828</v>
      </c>
      <c r="B85" s="2" t="s">
        <v>770</v>
      </c>
      <c r="C85" s="2">
        <v>182</v>
      </c>
      <c r="D85" s="2" t="s">
        <v>12</v>
      </c>
      <c r="E85" s="2" t="s">
        <v>827</v>
      </c>
      <c r="F85" s="2"/>
    </row>
    <row r="86" ht="27" spans="1:6">
      <c r="A86" s="2" t="s">
        <v>829</v>
      </c>
      <c r="B86" s="2" t="s">
        <v>772</v>
      </c>
      <c r="C86" s="2">
        <v>208</v>
      </c>
      <c r="D86" s="2" t="s">
        <v>12</v>
      </c>
      <c r="E86" s="2" t="s">
        <v>827</v>
      </c>
      <c r="F86" s="2"/>
    </row>
    <row r="87" ht="27" spans="1:6">
      <c r="A87" s="2" t="s">
        <v>830</v>
      </c>
      <c r="B87" s="2" t="s">
        <v>384</v>
      </c>
      <c r="C87" s="2">
        <v>2301</v>
      </c>
      <c r="D87" s="2" t="s">
        <v>12</v>
      </c>
      <c r="E87" s="2" t="s">
        <v>831</v>
      </c>
      <c r="F87" s="2"/>
    </row>
    <row r="88" ht="27" spans="1:6">
      <c r="A88" s="2" t="s">
        <v>832</v>
      </c>
      <c r="B88" s="2" t="s">
        <v>791</v>
      </c>
      <c r="C88" s="2">
        <v>13</v>
      </c>
      <c r="D88" s="2" t="s">
        <v>12</v>
      </c>
      <c r="E88" s="2" t="s">
        <v>827</v>
      </c>
      <c r="F88" s="2"/>
    </row>
    <row r="89" ht="27" spans="1:6">
      <c r="A89" s="2" t="s">
        <v>833</v>
      </c>
      <c r="B89" s="2" t="s">
        <v>792</v>
      </c>
      <c r="C89" s="2">
        <v>13</v>
      </c>
      <c r="D89" s="2" t="s">
        <v>12</v>
      </c>
      <c r="E89" s="2" t="s">
        <v>827</v>
      </c>
      <c r="F89" s="2"/>
    </row>
    <row r="90" ht="27" spans="1:6">
      <c r="A90" s="2" t="s">
        <v>834</v>
      </c>
      <c r="B90" s="2" t="s">
        <v>793</v>
      </c>
      <c r="C90" s="2">
        <v>65</v>
      </c>
      <c r="D90" s="2" t="s">
        <v>12</v>
      </c>
      <c r="E90" s="2" t="s">
        <v>827</v>
      </c>
      <c r="F90" s="2"/>
    </row>
    <row r="91" ht="27" spans="1:6">
      <c r="A91" s="2" t="s">
        <v>835</v>
      </c>
      <c r="B91" s="2" t="s">
        <v>795</v>
      </c>
      <c r="C91" s="2">
        <v>299</v>
      </c>
      <c r="D91" s="2" t="s">
        <v>12</v>
      </c>
      <c r="E91" s="2" t="s">
        <v>827</v>
      </c>
      <c r="F91" s="2"/>
    </row>
    <row r="92" ht="27" spans="1:6">
      <c r="A92" s="2" t="s">
        <v>836</v>
      </c>
      <c r="B92" s="2" t="s">
        <v>797</v>
      </c>
      <c r="C92" s="2">
        <v>91</v>
      </c>
      <c r="D92" s="2" t="s">
        <v>12</v>
      </c>
      <c r="E92" s="2" t="s">
        <v>827</v>
      </c>
      <c r="F92" s="2"/>
    </row>
    <row r="93" ht="27" spans="1:6">
      <c r="A93" s="2" t="s">
        <v>837</v>
      </c>
      <c r="B93" s="2" t="s">
        <v>799</v>
      </c>
      <c r="C93" s="2">
        <v>26</v>
      </c>
      <c r="D93" s="2" t="s">
        <v>12</v>
      </c>
      <c r="E93" s="2" t="s">
        <v>827</v>
      </c>
      <c r="F93" s="2"/>
    </row>
    <row r="94" ht="27" spans="1:6">
      <c r="A94" s="2" t="s">
        <v>838</v>
      </c>
      <c r="B94" s="2" t="s">
        <v>800</v>
      </c>
      <c r="C94" s="2">
        <v>52</v>
      </c>
      <c r="D94" s="2" t="s">
        <v>12</v>
      </c>
      <c r="E94" s="2" t="s">
        <v>827</v>
      </c>
      <c r="F94" s="2"/>
    </row>
    <row r="95" ht="27" spans="1:6">
      <c r="A95" s="2" t="s">
        <v>839</v>
      </c>
      <c r="B95" s="2" t="s">
        <v>802</v>
      </c>
      <c r="C95" s="2">
        <v>91</v>
      </c>
      <c r="D95" s="2" t="s">
        <v>12</v>
      </c>
      <c r="E95" s="2" t="s">
        <v>827</v>
      </c>
      <c r="F95" s="2"/>
    </row>
    <row r="96" ht="27" spans="1:6">
      <c r="A96" s="2" t="s">
        <v>840</v>
      </c>
      <c r="B96" s="2" t="s">
        <v>436</v>
      </c>
      <c r="C96" s="2">
        <v>432.13</v>
      </c>
      <c r="D96" s="2" t="s">
        <v>387</v>
      </c>
      <c r="E96" s="2" t="s">
        <v>831</v>
      </c>
      <c r="F96" s="2"/>
    </row>
    <row r="97" spans="1:6">
      <c r="A97" s="2" t="s">
        <v>841</v>
      </c>
      <c r="B97" s="2" t="s">
        <v>447</v>
      </c>
      <c r="C97" s="2">
        <v>12</v>
      </c>
      <c r="D97" s="2" t="s">
        <v>439</v>
      </c>
      <c r="E97" s="2" t="s">
        <v>831</v>
      </c>
      <c r="F97" s="2"/>
    </row>
    <row r="98" spans="1:6">
      <c r="A98" s="2" t="s">
        <v>842</v>
      </c>
      <c r="B98" s="2" t="s">
        <v>808</v>
      </c>
      <c r="C98" s="2">
        <v>14</v>
      </c>
      <c r="D98" s="2" t="s">
        <v>439</v>
      </c>
      <c r="E98" s="2" t="s">
        <v>827</v>
      </c>
      <c r="F98" s="2"/>
    </row>
    <row r="99" spans="1:6">
      <c r="A99" s="2" t="s">
        <v>843</v>
      </c>
      <c r="B99" s="2" t="s">
        <v>463</v>
      </c>
      <c r="C99" s="2">
        <v>3</v>
      </c>
      <c r="D99" s="2" t="s">
        <v>439</v>
      </c>
      <c r="E99" s="2" t="s">
        <v>831</v>
      </c>
      <c r="F99" s="2"/>
    </row>
    <row r="100" spans="1:6">
      <c r="A100" s="2" t="s">
        <v>844</v>
      </c>
      <c r="B100" s="2" t="s">
        <v>468</v>
      </c>
      <c r="C100" s="2">
        <v>25</v>
      </c>
      <c r="D100" s="2" t="s">
        <v>467</v>
      </c>
      <c r="E100" s="2" t="s">
        <v>831</v>
      </c>
      <c r="F100" s="2"/>
    </row>
    <row r="101" spans="1:6">
      <c r="A101" s="2" t="s">
        <v>845</v>
      </c>
      <c r="B101" s="2" t="s">
        <v>473</v>
      </c>
      <c r="C101" s="2">
        <v>4</v>
      </c>
      <c r="D101" s="2" t="s">
        <v>472</v>
      </c>
      <c r="E101" s="2" t="s">
        <v>827</v>
      </c>
      <c r="F101" s="2"/>
    </row>
    <row r="102" spans="1:6">
      <c r="A102" s="2" t="s">
        <v>846</v>
      </c>
      <c r="B102" s="2" t="s">
        <v>483</v>
      </c>
      <c r="C102" s="2">
        <v>75</v>
      </c>
      <c r="D102" s="2" t="s">
        <v>477</v>
      </c>
      <c r="E102" s="2" t="s">
        <v>831</v>
      </c>
      <c r="F102" s="2"/>
    </row>
    <row r="103" spans="1:6">
      <c r="A103" s="2" t="s">
        <v>847</v>
      </c>
      <c r="B103" s="2" t="s">
        <v>486</v>
      </c>
      <c r="C103" s="2">
        <v>50</v>
      </c>
      <c r="D103" s="2" t="s">
        <v>477</v>
      </c>
      <c r="E103" s="2" t="s">
        <v>831</v>
      </c>
      <c r="F103" s="2"/>
    </row>
    <row r="104" spans="1:6">
      <c r="A104" s="2" t="s">
        <v>848</v>
      </c>
      <c r="B104" s="2" t="s">
        <v>490</v>
      </c>
      <c r="C104" s="2">
        <v>40</v>
      </c>
      <c r="D104" s="2" t="s">
        <v>489</v>
      </c>
      <c r="E104" s="2" t="s">
        <v>831</v>
      </c>
      <c r="F104" s="2"/>
    </row>
    <row r="105" ht="27" spans="1:6">
      <c r="A105" s="2" t="s">
        <v>849</v>
      </c>
      <c r="B105" s="2" t="s">
        <v>498</v>
      </c>
      <c r="C105" s="2">
        <v>44</v>
      </c>
      <c r="D105" s="2" t="s">
        <v>494</v>
      </c>
      <c r="E105" s="2" t="s">
        <v>831</v>
      </c>
      <c r="F105" s="2"/>
    </row>
    <row r="106" ht="27" spans="1:6">
      <c r="A106" s="2" t="s">
        <v>850</v>
      </c>
      <c r="B106" s="2" t="s">
        <v>503</v>
      </c>
      <c r="C106" s="2">
        <v>52</v>
      </c>
      <c r="D106" s="2" t="s">
        <v>494</v>
      </c>
      <c r="E106" s="2" t="s">
        <v>831</v>
      </c>
      <c r="F106" s="2"/>
    </row>
    <row r="107" ht="27" spans="1:6">
      <c r="A107" s="2" t="s">
        <v>851</v>
      </c>
      <c r="B107" s="2" t="s">
        <v>506</v>
      </c>
      <c r="C107" s="2">
        <v>11</v>
      </c>
      <c r="D107" s="2" t="s">
        <v>494</v>
      </c>
      <c r="E107" s="2" t="s">
        <v>831</v>
      </c>
      <c r="F107" s="2"/>
    </row>
    <row r="108" ht="27" spans="1:6">
      <c r="A108" s="2" t="s">
        <v>852</v>
      </c>
      <c r="B108" s="2" t="s">
        <v>513</v>
      </c>
      <c r="C108" s="2">
        <v>92</v>
      </c>
      <c r="D108" s="2" t="s">
        <v>509</v>
      </c>
      <c r="E108" s="2" t="s">
        <v>831</v>
      </c>
      <c r="F108" s="2"/>
    </row>
    <row r="109" spans="1:6">
      <c r="A109" s="2" t="s">
        <v>853</v>
      </c>
      <c r="B109" s="2" t="s">
        <v>521</v>
      </c>
      <c r="C109" s="2">
        <v>50</v>
      </c>
      <c r="D109" s="2" t="s">
        <v>517</v>
      </c>
      <c r="E109" s="2" t="s">
        <v>831</v>
      </c>
      <c r="F109" s="2"/>
    </row>
    <row r="110" spans="1:6">
      <c r="A110" s="2" t="s">
        <v>854</v>
      </c>
      <c r="B110" s="2" t="s">
        <v>531</v>
      </c>
      <c r="C110" s="2">
        <v>100</v>
      </c>
      <c r="D110" s="2" t="s">
        <v>517</v>
      </c>
      <c r="E110" s="2" t="s">
        <v>831</v>
      </c>
      <c r="F110" s="2"/>
    </row>
    <row r="111" spans="1:6">
      <c r="A111" s="2" t="s">
        <v>855</v>
      </c>
      <c r="B111" s="2" t="s">
        <v>536</v>
      </c>
      <c r="C111" s="2">
        <v>50</v>
      </c>
      <c r="D111" s="2" t="s">
        <v>517</v>
      </c>
      <c r="E111" s="2" t="s">
        <v>831</v>
      </c>
      <c r="F111" s="2"/>
    </row>
    <row r="112" spans="1:6">
      <c r="A112" s="2" t="s">
        <v>856</v>
      </c>
      <c r="B112" s="2" t="s">
        <v>540</v>
      </c>
      <c r="C112" s="2">
        <v>50</v>
      </c>
      <c r="D112" s="2" t="s">
        <v>539</v>
      </c>
      <c r="E112" s="2" t="s">
        <v>831</v>
      </c>
      <c r="F112" s="2"/>
    </row>
    <row r="113" spans="1:6">
      <c r="A113" s="2" t="s">
        <v>857</v>
      </c>
      <c r="B113" s="2" t="s">
        <v>550</v>
      </c>
      <c r="C113" s="2">
        <v>72</v>
      </c>
      <c r="D113" s="2" t="s">
        <v>544</v>
      </c>
      <c r="E113" s="2" t="s">
        <v>831</v>
      </c>
      <c r="F113" s="2"/>
    </row>
    <row r="114" spans="1:6">
      <c r="A114" s="2" t="s">
        <v>858</v>
      </c>
      <c r="B114" s="2" t="s">
        <v>563</v>
      </c>
      <c r="C114" s="2">
        <v>181</v>
      </c>
      <c r="D114" s="2" t="s">
        <v>544</v>
      </c>
      <c r="E114" s="2" t="s">
        <v>831</v>
      </c>
      <c r="F114" s="2"/>
    </row>
    <row r="115" ht="27" spans="1:6">
      <c r="A115" s="2" t="s">
        <v>859</v>
      </c>
      <c r="B115" s="2" t="s">
        <v>567</v>
      </c>
      <c r="C115" s="2">
        <v>50</v>
      </c>
      <c r="D115" s="2" t="s">
        <v>566</v>
      </c>
      <c r="E115" s="2" t="s">
        <v>831</v>
      </c>
      <c r="F115" s="2"/>
    </row>
    <row r="116" ht="27" spans="1:6">
      <c r="A116" s="2" t="s">
        <v>860</v>
      </c>
      <c r="B116" s="2" t="s">
        <v>571</v>
      </c>
      <c r="C116" s="2">
        <v>716</v>
      </c>
      <c r="D116" s="2" t="s">
        <v>566</v>
      </c>
      <c r="E116" s="2" t="s">
        <v>831</v>
      </c>
      <c r="F116" s="2"/>
    </row>
    <row r="117" spans="1:6">
      <c r="A117" s="2" t="s">
        <v>861</v>
      </c>
      <c r="B117" s="2" t="s">
        <v>576</v>
      </c>
      <c r="C117" s="2">
        <v>25</v>
      </c>
      <c r="D117" s="2" t="s">
        <v>575</v>
      </c>
      <c r="E117" s="2" t="s">
        <v>831</v>
      </c>
      <c r="F117" s="2"/>
    </row>
    <row r="118" spans="1:6">
      <c r="A118" s="2" t="s">
        <v>862</v>
      </c>
      <c r="B118" s="2" t="s">
        <v>580</v>
      </c>
      <c r="C118" s="2">
        <v>50</v>
      </c>
      <c r="D118" s="2" t="s">
        <v>575</v>
      </c>
      <c r="E118" s="2" t="s">
        <v>831</v>
      </c>
      <c r="F118" s="2"/>
    </row>
    <row r="119" spans="1:6">
      <c r="A119" s="2" t="s">
        <v>863</v>
      </c>
      <c r="B119" s="2" t="s">
        <v>590</v>
      </c>
      <c r="C119" s="2">
        <v>115</v>
      </c>
      <c r="D119" s="2" t="s">
        <v>477</v>
      </c>
      <c r="E119" s="2" t="s">
        <v>831</v>
      </c>
      <c r="F119" s="2"/>
    </row>
    <row r="120" spans="1:6">
      <c r="A120" s="2" t="s">
        <v>864</v>
      </c>
      <c r="B120" s="2" t="s">
        <v>595</v>
      </c>
      <c r="C120" s="2">
        <v>20</v>
      </c>
      <c r="D120" s="2" t="s">
        <v>594</v>
      </c>
      <c r="E120" s="2" t="s">
        <v>831</v>
      </c>
      <c r="F120" s="2"/>
    </row>
    <row r="121" ht="27" spans="1:6">
      <c r="A121" s="2" t="s">
        <v>865</v>
      </c>
      <c r="B121" s="2" t="s">
        <v>617</v>
      </c>
      <c r="C121" s="2">
        <v>455</v>
      </c>
      <c r="D121" s="2" t="s">
        <v>599</v>
      </c>
      <c r="E121" s="2" t="s">
        <v>831</v>
      </c>
      <c r="F121" s="2"/>
    </row>
    <row r="122" ht="27" spans="1:6">
      <c r="A122" s="2" t="s">
        <v>866</v>
      </c>
      <c r="B122" s="2" t="s">
        <v>636</v>
      </c>
      <c r="C122" s="2">
        <v>490</v>
      </c>
      <c r="D122" s="2" t="s">
        <v>599</v>
      </c>
      <c r="E122" s="2" t="s">
        <v>831</v>
      </c>
      <c r="F122" s="2"/>
    </row>
    <row r="123" spans="1:6">
      <c r="A123" s="2" t="s">
        <v>867</v>
      </c>
      <c r="B123" s="2" t="s">
        <v>643</v>
      </c>
      <c r="C123" s="2">
        <v>162</v>
      </c>
      <c r="D123" s="2" t="s">
        <v>639</v>
      </c>
      <c r="E123" s="2" t="s">
        <v>831</v>
      </c>
      <c r="F123" s="2"/>
    </row>
    <row r="124" spans="1:6">
      <c r="A124" s="2" t="s">
        <v>868</v>
      </c>
      <c r="B124" s="2" t="s">
        <v>646</v>
      </c>
      <c r="C124" s="2">
        <v>45</v>
      </c>
      <c r="D124" s="2" t="s">
        <v>639</v>
      </c>
      <c r="E124" s="2" t="s">
        <v>831</v>
      </c>
      <c r="F124" s="2"/>
    </row>
    <row r="125" spans="1:6">
      <c r="A125" s="2" t="s">
        <v>869</v>
      </c>
      <c r="B125" s="2" t="s">
        <v>650</v>
      </c>
      <c r="C125" s="2">
        <v>5</v>
      </c>
      <c r="D125" s="2" t="s">
        <v>649</v>
      </c>
      <c r="E125" s="2" t="s">
        <v>831</v>
      </c>
      <c r="F125" s="2"/>
    </row>
    <row r="126" spans="1:6">
      <c r="A126" s="2" t="s">
        <v>870</v>
      </c>
      <c r="B126" s="2" t="s">
        <v>654</v>
      </c>
      <c r="C126" s="2">
        <v>10</v>
      </c>
      <c r="D126" s="2" t="s">
        <v>649</v>
      </c>
      <c r="E126" s="2" t="s">
        <v>831</v>
      </c>
      <c r="F126" s="2"/>
    </row>
    <row r="127" spans="1:6">
      <c r="A127" s="2" t="s">
        <v>871</v>
      </c>
      <c r="B127" s="2" t="s">
        <v>658</v>
      </c>
      <c r="C127" s="2">
        <v>150</v>
      </c>
      <c r="D127" s="2" t="s">
        <v>657</v>
      </c>
      <c r="E127" s="2" t="s">
        <v>827</v>
      </c>
      <c r="F127" s="2"/>
    </row>
    <row r="128" spans="1:6">
      <c r="A128" s="2" t="s">
        <v>872</v>
      </c>
      <c r="B128" s="2" t="s">
        <v>663</v>
      </c>
      <c r="C128" s="2">
        <v>12</v>
      </c>
      <c r="D128" s="2" t="s">
        <v>662</v>
      </c>
      <c r="E128" s="2" t="s">
        <v>831</v>
      </c>
      <c r="F128" s="2"/>
    </row>
    <row r="129" spans="1:6">
      <c r="A129" s="2" t="s">
        <v>873</v>
      </c>
      <c r="B129" s="2" t="s">
        <v>667</v>
      </c>
      <c r="C129" s="2">
        <v>3</v>
      </c>
      <c r="D129" s="2" t="s">
        <v>439</v>
      </c>
      <c r="E129" s="2" t="s">
        <v>831</v>
      </c>
      <c r="F129" s="2"/>
    </row>
    <row r="130" ht="27" spans="1:6">
      <c r="A130" s="2" t="s">
        <v>874</v>
      </c>
      <c r="B130" s="2" t="s">
        <v>671</v>
      </c>
      <c r="C130" s="2">
        <v>4</v>
      </c>
      <c r="D130" s="2" t="s">
        <v>458</v>
      </c>
      <c r="E130" s="2" t="s">
        <v>831</v>
      </c>
      <c r="F130" s="2"/>
    </row>
    <row r="131" spans="1:6">
      <c r="A131" s="2" t="s">
        <v>875</v>
      </c>
      <c r="B131" s="2" t="s">
        <v>704</v>
      </c>
      <c r="C131" s="2">
        <v>411</v>
      </c>
      <c r="D131" s="2" t="s">
        <v>544</v>
      </c>
      <c r="E131" s="2" t="s">
        <v>831</v>
      </c>
      <c r="F131" s="2"/>
    </row>
    <row r="132" spans="1:6">
      <c r="A132" s="2" t="s">
        <v>876</v>
      </c>
      <c r="B132" s="2" t="s">
        <v>727</v>
      </c>
      <c r="C132" s="2">
        <v>247</v>
      </c>
      <c r="D132" s="2" t="s">
        <v>544</v>
      </c>
      <c r="E132" s="2" t="s">
        <v>831</v>
      </c>
      <c r="F132" s="2"/>
    </row>
    <row r="133" spans="1:6">
      <c r="A133" s="2" t="s">
        <v>877</v>
      </c>
      <c r="B133" s="2" t="s">
        <v>751</v>
      </c>
      <c r="C133" s="2">
        <v>420</v>
      </c>
      <c r="D133" s="2" t="s">
        <v>539</v>
      </c>
      <c r="E133" s="2" t="s">
        <v>831</v>
      </c>
      <c r="F133" s="2"/>
    </row>
    <row r="134" spans="1:6">
      <c r="A134" s="2" t="s">
        <v>878</v>
      </c>
      <c r="B134" s="2" t="s">
        <v>762</v>
      </c>
      <c r="C134" s="2">
        <v>205</v>
      </c>
      <c r="D134" s="2" t="s">
        <v>539</v>
      </c>
      <c r="E134" s="2" t="s">
        <v>831</v>
      </c>
      <c r="F134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selection activeCell="A1" sqref="A1"/>
    </sheetView>
  </sheetViews>
  <sheetFormatPr defaultColWidth="9" defaultRowHeight="13.5" outlineLevelCol="3"/>
  <sheetData>
    <row r="1" spans="1:4">
      <c r="A1" t="s">
        <v>0</v>
      </c>
      <c r="B1" t="s">
        <v>879</v>
      </c>
      <c r="C1" t="s">
        <v>880</v>
      </c>
      <c r="D1" t="s">
        <v>881</v>
      </c>
    </row>
    <row r="2" spans="1:4">
      <c r="A2">
        <v>18</v>
      </c>
      <c r="B2" t="s">
        <v>882</v>
      </c>
      <c r="C2" t="s">
        <v>882</v>
      </c>
      <c r="D2" t="s">
        <v>883</v>
      </c>
    </row>
    <row r="3" spans="1:4">
      <c r="A3">
        <v>36</v>
      </c>
      <c r="B3" t="s">
        <v>884</v>
      </c>
      <c r="C3" t="s">
        <v>884</v>
      </c>
      <c r="D3" t="s">
        <v>883</v>
      </c>
    </row>
    <row r="4" spans="1:4">
      <c r="A4">
        <v>43</v>
      </c>
      <c r="B4" t="s">
        <v>885</v>
      </c>
      <c r="C4" t="s">
        <v>885</v>
      </c>
      <c r="D4" t="s">
        <v>883</v>
      </c>
    </row>
    <row r="5" spans="1:4">
      <c r="A5">
        <v>44</v>
      </c>
      <c r="B5" t="s">
        <v>886</v>
      </c>
      <c r="C5" t="s">
        <v>886</v>
      </c>
      <c r="D5" t="s">
        <v>883</v>
      </c>
    </row>
    <row r="6" spans="1:4">
      <c r="A6">
        <v>45</v>
      </c>
      <c r="B6" t="s">
        <v>887</v>
      </c>
      <c r="C6" t="s">
        <v>887</v>
      </c>
      <c r="D6" t="s">
        <v>883</v>
      </c>
    </row>
    <row r="7" spans="1:4">
      <c r="A7">
        <v>45</v>
      </c>
      <c r="B7" t="s">
        <v>888</v>
      </c>
      <c r="C7" t="s">
        <v>888</v>
      </c>
      <c r="D7" t="s">
        <v>883</v>
      </c>
    </row>
    <row r="8" spans="1:4">
      <c r="A8">
        <v>46</v>
      </c>
      <c r="B8" t="s">
        <v>889</v>
      </c>
      <c r="C8" t="s">
        <v>889</v>
      </c>
      <c r="D8" t="s">
        <v>883</v>
      </c>
    </row>
    <row r="9" spans="1:4">
      <c r="A9">
        <v>47</v>
      </c>
      <c r="B9" t="s">
        <v>890</v>
      </c>
      <c r="C9" t="s">
        <v>890</v>
      </c>
      <c r="D9" t="s">
        <v>883</v>
      </c>
    </row>
    <row r="10" spans="1:4">
      <c r="A10">
        <v>48</v>
      </c>
      <c r="B10" t="s">
        <v>891</v>
      </c>
      <c r="C10" t="s">
        <v>891</v>
      </c>
      <c r="D10" t="s">
        <v>883</v>
      </c>
    </row>
    <row r="11" spans="1:4">
      <c r="A11">
        <v>49</v>
      </c>
      <c r="B11" t="s">
        <v>892</v>
      </c>
      <c r="C11" t="s">
        <v>892</v>
      </c>
      <c r="D11" t="s">
        <v>883</v>
      </c>
    </row>
    <row r="12" spans="1:4">
      <c r="A12">
        <v>50</v>
      </c>
      <c r="B12" t="s">
        <v>893</v>
      </c>
      <c r="C12" t="s">
        <v>893</v>
      </c>
      <c r="D12" t="s">
        <v>883</v>
      </c>
    </row>
    <row r="13" spans="1:4">
      <c r="A13">
        <v>51</v>
      </c>
      <c r="B13" t="s">
        <v>894</v>
      </c>
      <c r="C13" t="s">
        <v>894</v>
      </c>
      <c r="D13" t="s">
        <v>883</v>
      </c>
    </row>
    <row r="14" spans="1:4">
      <c r="A14">
        <v>52</v>
      </c>
      <c r="B14" t="s">
        <v>895</v>
      </c>
      <c r="C14" t="s">
        <v>895</v>
      </c>
      <c r="D14" t="s">
        <v>883</v>
      </c>
    </row>
    <row r="15" spans="1:4">
      <c r="A15">
        <v>53</v>
      </c>
      <c r="B15" t="s">
        <v>896</v>
      </c>
      <c r="C15" t="s">
        <v>896</v>
      </c>
      <c r="D15" t="s">
        <v>883</v>
      </c>
    </row>
    <row r="16" spans="1:4">
      <c r="A16">
        <v>54</v>
      </c>
      <c r="B16" t="s">
        <v>897</v>
      </c>
      <c r="C16" t="s">
        <v>897</v>
      </c>
      <c r="D16" t="s">
        <v>883</v>
      </c>
    </row>
    <row r="17" spans="1:4">
      <c r="A17">
        <v>56</v>
      </c>
      <c r="B17" t="s">
        <v>898</v>
      </c>
      <c r="C17" t="s">
        <v>898</v>
      </c>
      <c r="D17" t="s">
        <v>883</v>
      </c>
    </row>
    <row r="18" spans="1:4">
      <c r="A18">
        <v>57</v>
      </c>
      <c r="B18" t="s">
        <v>899</v>
      </c>
      <c r="C18" t="s">
        <v>899</v>
      </c>
      <c r="D18" t="s">
        <v>883</v>
      </c>
    </row>
    <row r="19" spans="1:4">
      <c r="A19">
        <v>58</v>
      </c>
      <c r="B19" t="s">
        <v>900</v>
      </c>
      <c r="C19" t="s">
        <v>900</v>
      </c>
      <c r="D19" t="s">
        <v>883</v>
      </c>
    </row>
    <row r="20" spans="1:4">
      <c r="A20">
        <v>59</v>
      </c>
      <c r="B20" t="s">
        <v>901</v>
      </c>
      <c r="C20" t="s">
        <v>901</v>
      </c>
      <c r="D20" t="s">
        <v>883</v>
      </c>
    </row>
    <row r="21" spans="1:4">
      <c r="A21">
        <v>60</v>
      </c>
      <c r="B21" t="s">
        <v>902</v>
      </c>
      <c r="C21" t="s">
        <v>902</v>
      </c>
      <c r="D21" t="s">
        <v>883</v>
      </c>
    </row>
    <row r="22" spans="1:4">
      <c r="A22">
        <v>61</v>
      </c>
      <c r="B22" t="s">
        <v>903</v>
      </c>
      <c r="C22" t="s">
        <v>903</v>
      </c>
      <c r="D22" t="s">
        <v>883</v>
      </c>
    </row>
    <row r="23" spans="1:4">
      <c r="A23">
        <v>62</v>
      </c>
      <c r="B23" t="s">
        <v>904</v>
      </c>
      <c r="C23" t="s">
        <v>904</v>
      </c>
      <c r="D23" t="s">
        <v>883</v>
      </c>
    </row>
    <row r="24" spans="1:4">
      <c r="A24">
        <v>63</v>
      </c>
      <c r="B24" t="s">
        <v>905</v>
      </c>
      <c r="C24" t="s">
        <v>905</v>
      </c>
      <c r="D24" t="s">
        <v>883</v>
      </c>
    </row>
    <row r="25" spans="1:4">
      <c r="A25">
        <v>64</v>
      </c>
      <c r="B25" t="s">
        <v>906</v>
      </c>
      <c r="C25" t="s">
        <v>906</v>
      </c>
      <c r="D25" t="s">
        <v>883</v>
      </c>
    </row>
    <row r="26" spans="1:4">
      <c r="A26">
        <v>65</v>
      </c>
      <c r="B26" t="s">
        <v>907</v>
      </c>
      <c r="C26" t="s">
        <v>907</v>
      </c>
      <c r="D26" t="s">
        <v>883</v>
      </c>
    </row>
    <row r="27" spans="1:4">
      <c r="A27">
        <v>66</v>
      </c>
      <c r="B27" t="s">
        <v>908</v>
      </c>
      <c r="C27" t="s">
        <v>908</v>
      </c>
      <c r="D27" t="s">
        <v>883</v>
      </c>
    </row>
    <row r="28" spans="1:4">
      <c r="A28">
        <v>67</v>
      </c>
      <c r="B28" t="s">
        <v>909</v>
      </c>
      <c r="C28" t="s">
        <v>909</v>
      </c>
      <c r="D28" t="s">
        <v>883</v>
      </c>
    </row>
    <row r="29" spans="1:4">
      <c r="A29">
        <v>68</v>
      </c>
      <c r="B29" t="s">
        <v>910</v>
      </c>
      <c r="C29" t="s">
        <v>910</v>
      </c>
      <c r="D29" t="s">
        <v>883</v>
      </c>
    </row>
    <row r="30" spans="1:4">
      <c r="A30">
        <v>69</v>
      </c>
      <c r="B30" t="s">
        <v>911</v>
      </c>
      <c r="C30" t="s">
        <v>911</v>
      </c>
      <c r="D30" t="s">
        <v>883</v>
      </c>
    </row>
    <row r="31" spans="1:4">
      <c r="A31">
        <v>70</v>
      </c>
      <c r="B31" t="s">
        <v>912</v>
      </c>
      <c r="C31" t="s">
        <v>912</v>
      </c>
      <c r="D31" t="s">
        <v>883</v>
      </c>
    </row>
    <row r="32" spans="1:4">
      <c r="A32">
        <v>71</v>
      </c>
      <c r="B32" t="s">
        <v>913</v>
      </c>
      <c r="C32" t="s">
        <v>913</v>
      </c>
      <c r="D32" t="s">
        <v>883</v>
      </c>
    </row>
    <row r="33" spans="1:4">
      <c r="A33">
        <v>72</v>
      </c>
      <c r="B33" t="s">
        <v>914</v>
      </c>
      <c r="C33" t="s">
        <v>914</v>
      </c>
      <c r="D33" t="s">
        <v>883</v>
      </c>
    </row>
    <row r="34" spans="1:4">
      <c r="A34">
        <v>73</v>
      </c>
      <c r="B34" t="s">
        <v>915</v>
      </c>
      <c r="C34" t="s">
        <v>915</v>
      </c>
      <c r="D34" t="s">
        <v>883</v>
      </c>
    </row>
    <row r="35" spans="1:4">
      <c r="A35">
        <v>74</v>
      </c>
      <c r="B35" t="s">
        <v>916</v>
      </c>
      <c r="C35" t="s">
        <v>916</v>
      </c>
      <c r="D35" t="s">
        <v>883</v>
      </c>
    </row>
    <row r="36" spans="1:4">
      <c r="A36">
        <v>75</v>
      </c>
      <c r="B36" t="s">
        <v>917</v>
      </c>
      <c r="C36" t="s">
        <v>917</v>
      </c>
      <c r="D36" t="s">
        <v>883</v>
      </c>
    </row>
    <row r="37" spans="1:4">
      <c r="A37">
        <v>76</v>
      </c>
      <c r="B37" t="s">
        <v>918</v>
      </c>
      <c r="C37" t="s">
        <v>918</v>
      </c>
      <c r="D37" t="s">
        <v>883</v>
      </c>
    </row>
    <row r="38" spans="1:4">
      <c r="A38">
        <v>77</v>
      </c>
      <c r="B38" t="s">
        <v>919</v>
      </c>
      <c r="C38" t="s">
        <v>919</v>
      </c>
      <c r="D38" t="s">
        <v>883</v>
      </c>
    </row>
    <row r="39" spans="1:4">
      <c r="A39">
        <v>78</v>
      </c>
      <c r="B39" t="s">
        <v>920</v>
      </c>
      <c r="C39" t="s">
        <v>920</v>
      </c>
      <c r="D39" t="s">
        <v>883</v>
      </c>
    </row>
    <row r="40" spans="1:4">
      <c r="A40">
        <v>79</v>
      </c>
      <c r="B40" t="s">
        <v>921</v>
      </c>
      <c r="C40" t="s">
        <v>921</v>
      </c>
      <c r="D40" t="s">
        <v>883</v>
      </c>
    </row>
    <row r="41" spans="1:4">
      <c r="A41">
        <v>80</v>
      </c>
      <c r="B41" t="s">
        <v>922</v>
      </c>
      <c r="C41" t="s">
        <v>922</v>
      </c>
      <c r="D41" t="s">
        <v>883</v>
      </c>
    </row>
    <row r="42" spans="1:4">
      <c r="A42">
        <v>81</v>
      </c>
      <c r="B42" t="s">
        <v>923</v>
      </c>
      <c r="C42" t="s">
        <v>923</v>
      </c>
      <c r="D42" t="s">
        <v>883</v>
      </c>
    </row>
    <row r="43" spans="1:4">
      <c r="A43">
        <v>82</v>
      </c>
      <c r="B43" t="s">
        <v>924</v>
      </c>
      <c r="C43" t="s">
        <v>924</v>
      </c>
      <c r="D43" t="s">
        <v>883</v>
      </c>
    </row>
    <row r="44" spans="1:4">
      <c r="A44" t="s">
        <v>388</v>
      </c>
      <c r="B44" t="s">
        <v>388</v>
      </c>
      <c r="C44" t="s">
        <v>388</v>
      </c>
      <c r="D44" t="s">
        <v>388</v>
      </c>
    </row>
    <row r="45" spans="1:4">
      <c r="A45" t="s">
        <v>925</v>
      </c>
      <c r="B45" t="s">
        <v>879</v>
      </c>
      <c r="C45" t="s">
        <v>880</v>
      </c>
      <c r="D45" t="s">
        <v>881</v>
      </c>
    </row>
    <row r="46" spans="1:4">
      <c r="A46" t="s">
        <v>926</v>
      </c>
      <c r="B46" t="s">
        <v>927</v>
      </c>
      <c r="C46" t="s">
        <v>882</v>
      </c>
      <c r="D46" t="s">
        <v>928</v>
      </c>
    </row>
    <row r="47" spans="1:4">
      <c r="A47" t="s">
        <v>926</v>
      </c>
      <c r="B47" t="s">
        <v>929</v>
      </c>
      <c r="C47" t="s">
        <v>887</v>
      </c>
      <c r="D47" t="s">
        <v>928</v>
      </c>
    </row>
    <row r="48" spans="1:4">
      <c r="A48" t="s">
        <v>926</v>
      </c>
      <c r="B48" t="s">
        <v>930</v>
      </c>
      <c r="C48" t="s">
        <v>888</v>
      </c>
      <c r="D48" t="s">
        <v>928</v>
      </c>
    </row>
    <row r="49" spans="1:4">
      <c r="A49" t="s">
        <v>926</v>
      </c>
      <c r="B49" t="s">
        <v>931</v>
      </c>
      <c r="C49" t="s">
        <v>891</v>
      </c>
      <c r="D49" t="s">
        <v>928</v>
      </c>
    </row>
    <row r="50" spans="1:4">
      <c r="A50" t="s">
        <v>926</v>
      </c>
      <c r="B50" t="s">
        <v>932</v>
      </c>
      <c r="C50" t="s">
        <v>917</v>
      </c>
      <c r="D50" t="s">
        <v>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序号分组明细</vt:lpstr>
      <vt:lpstr>改名记录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国欽</cp:lastModifiedBy>
  <dcterms:created xsi:type="dcterms:W3CDTF">2026-07-14T08:19:00Z</dcterms:created>
  <dcterms:modified xsi:type="dcterms:W3CDTF">2026-07-17T08:54:59Z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4F61711054674C56A6CBCBBE5C6FF379_12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